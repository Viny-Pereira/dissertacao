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y Pereira\Downloads\"/>
    </mc:Choice>
  </mc:AlternateContent>
  <xr:revisionPtr revIDLastSave="0" documentId="8_{C440B7AB-E376-4CA8-B4B5-C93560DC3925}" xr6:coauthVersionLast="47" xr6:coauthVersionMax="47" xr10:uidLastSave="{00000000-0000-0000-0000-000000000000}"/>
  <bookViews>
    <workbookView xWindow="-120" yWindow="-120" windowWidth="20730" windowHeight="11760" xr2:uid="{59A783D3-54A5-42A5-9BC7-27D667FBFB39}"/>
  </bookViews>
  <sheets>
    <sheet name="T10" sheetId="1" r:id="rId1"/>
    <sheet name="T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2" l="1"/>
  <c r="N11" i="2"/>
  <c r="M11" i="2"/>
  <c r="O10" i="2"/>
  <c r="N10" i="2"/>
  <c r="M10" i="2"/>
  <c r="O9" i="2"/>
  <c r="N9" i="2"/>
  <c r="M9" i="2"/>
  <c r="O8" i="2"/>
  <c r="N8" i="2"/>
  <c r="M8" i="2"/>
  <c r="O7" i="2"/>
  <c r="N7" i="2"/>
  <c r="M7" i="2"/>
  <c r="O6" i="2"/>
  <c r="N6" i="2"/>
  <c r="M6" i="2"/>
  <c r="O5" i="2"/>
  <c r="N5" i="2"/>
  <c r="M5" i="2"/>
  <c r="O4" i="2"/>
  <c r="N4" i="2"/>
  <c r="M4" i="2"/>
  <c r="O3" i="2"/>
  <c r="N3" i="2"/>
  <c r="M3" i="2"/>
  <c r="O2" i="2"/>
  <c r="N2" i="2"/>
  <c r="M2" i="2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<sst xmlns="http://schemas.openxmlformats.org/spreadsheetml/2006/main" count="29" uniqueCount="15">
  <si>
    <t>num_nos</t>
  </si>
  <si>
    <t>num_elementos</t>
  </si>
  <si>
    <t>E1_GPa</t>
  </si>
  <si>
    <t>E2_GPa</t>
  </si>
  <si>
    <t>E3_GPa</t>
  </si>
  <si>
    <t>G12_GPa</t>
  </si>
  <si>
    <t>G13_GPa</t>
  </si>
  <si>
    <t>G23_GPa</t>
  </si>
  <si>
    <t>nu12</t>
  </si>
  <si>
    <t>nu13</t>
  </si>
  <si>
    <t>nu23</t>
  </si>
  <si>
    <t>Tempo_s</t>
  </si>
  <si>
    <t>E_avg</t>
  </si>
  <si>
    <t>G_avg</t>
  </si>
  <si>
    <t>nu_avg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</si>
</sst>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2"/>
      <color theme="1"/>
      <name val="Body Fon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Vf=20%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T10-Modulo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'T10'!$A$2:$A$7</c:f>
              <c:numCache>
                <c:formatCode>General</c:formatCode>
                <c:ptCount val="6"/>
                <c:pt idx="0">
                  <c:v>1941</c:v>
                </c:pt>
                <c:pt idx="1">
                  <c:v>2933</c:v>
                </c:pt>
                <c:pt idx="2">
                  <c:v>4467</c:v>
                </c:pt>
                <c:pt idx="3">
                  <c:v>10197</c:v>
                </c:pt>
                <c:pt idx="4">
                  <c:v>28775</c:v>
                </c:pt>
                <c:pt idx="5">
                  <c:v>68600</c:v>
                </c:pt>
              </c:numCache>
            </c:numRef>
          </c:cat>
          <c:val>
            <c:numRef>
              <c:f>'T10'!$L$2:$L$7</c:f>
              <c:numCache>
                <c:formatCode>0.00</c:formatCode>
                <c:ptCount val="6"/>
                <c:pt idx="0">
                  <c:v>98.789183414514085</c:v>
                </c:pt>
                <c:pt idx="1">
                  <c:v>98.528477037016827</c:v>
                </c:pt>
                <c:pt idx="2">
                  <c:v>98.380758122601605</c:v>
                </c:pt>
                <c:pt idx="3">
                  <c:v>98.194148344668065</c:v>
                </c:pt>
                <c:pt idx="4">
                  <c:v>98.150685070445036</c:v>
                </c:pt>
                <c:pt idx="5">
                  <c:v>98.140676666666664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9F-41AC-8C53-E51348E2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057808"/>
        <c:axId val="1008046288"/>
      </c:lineChart>
      <c:lineChart>
        <c:grouping val="stacked"/>
        <c:varyColors val="0"/>
        <c:ser>
          <c:idx val="1"/>
          <c:order val="1"/>
          <c:tx>
            <c:v>T10-Tempo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'T10'!$A$2:$A$7</c:f>
              <c:numCache>
                <c:formatCode>General</c:formatCode>
                <c:ptCount val="6"/>
                <c:pt idx="0">
                  <c:v>1941</c:v>
                </c:pt>
                <c:pt idx="1">
                  <c:v>2933</c:v>
                </c:pt>
                <c:pt idx="2">
                  <c:v>4467</c:v>
                </c:pt>
                <c:pt idx="3">
                  <c:v>10197</c:v>
                </c:pt>
                <c:pt idx="4">
                  <c:v>28775</c:v>
                </c:pt>
                <c:pt idx="5">
                  <c:v>68600</c:v>
                </c:pt>
              </c:numCache>
            </c:numRef>
          </c:cat>
          <c:val>
            <c:numRef>
              <c:f>'T10'!$K$2:$K$7</c:f>
              <c:numCache>
                <c:formatCode>0.00</c:formatCode>
                <c:ptCount val="6"/>
                <c:pt idx="0">
                  <c:v>10.5468208789825</c:v>
                </c:pt>
                <c:pt idx="1">
                  <c:v>17.534523487091001</c:v>
                </c:pt>
                <c:pt idx="2">
                  <c:v>44.323621511459301</c:v>
                </c:pt>
                <c:pt idx="3">
                  <c:v>279.54725980758599</c:v>
                </c:pt>
                <c:pt idx="4">
                  <c:v>3150.6773536205201</c:v>
                </c:pt>
                <c:pt idx="5">
                  <c:v>24403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9F-41AC-8C53-E51348E21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084944"/>
        <c:axId val="1040084464"/>
      </c:lineChart>
      <c:catAx>
        <c:axId val="100805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N° Nós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08046288"/>
        <c:crosses val="autoZero"/>
        <c:auto val="1"/>
        <c:lblAlgn val="ctr"/>
        <c:lblOffset val="100"/>
        <c:noMultiLvlLbl val="0"/>
      </c:catAx>
      <c:valAx>
        <c:axId val="10080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E (Gpa)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08057808"/>
        <c:crosses val="autoZero"/>
        <c:crossBetween val="between"/>
      </c:valAx>
      <c:valAx>
        <c:axId val="104008446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Tempo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040084944"/>
        <c:crosses val="max"/>
        <c:crossBetween val="between"/>
      </c:valAx>
      <c:catAx>
        <c:axId val="1040084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008446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7</xdr:row>
      <xdr:rowOff>119062</xdr:rowOff>
    </xdr:from>
    <xdr:to>
      <xdr:col>6</xdr:col>
      <xdr:colOff>361950</xdr:colOff>
      <xdr:row>22</xdr:row>
      <xdr:rowOff>4762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EF6DCE2-691A-E010-F56B-C94A96C8F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07D7F2-3477-4610-ABB2-6B1BB6B34B19}" name="Tabela5" displayName="Tabela5" ref="A1:N7" totalsRowShown="0">
  <autoFilter ref="A1:N7" xr:uid="{4507D7F2-3477-4610-ABB2-6B1BB6B34B19}"/>
  <tableColumns count="14">
    <tableColumn id="5" xr3:uid="{31DAF7F8-C624-4BFE-9EC2-A32331D5220B}" name="num_nos"/>
    <tableColumn id="7" xr3:uid="{BB43BE24-BCF9-4118-9C65-6CDD94E9AD89}" name="E1_GPa" dataDxfId="12"/>
    <tableColumn id="8" xr3:uid="{3563821A-3A6F-449E-AC91-39D507AA3F56}" name="E2_GPa" dataDxfId="11"/>
    <tableColumn id="9" xr3:uid="{C41F9CB3-3C47-4DA3-A699-2F189C46D263}" name="E3_GPa" dataDxfId="10"/>
    <tableColumn id="10" xr3:uid="{9B17D727-71AA-44F9-AC17-839D421CD764}" name="G12_GPa" dataDxfId="9"/>
    <tableColumn id="11" xr3:uid="{C71F1553-C468-44A2-B39A-FA49638B0A0C}" name="G13_GPa" dataDxfId="8"/>
    <tableColumn id="12" xr3:uid="{BD5C7480-4D85-4134-B9AC-BC0AC89C29B8}" name="G23_GPa" dataDxfId="7"/>
    <tableColumn id="13" xr3:uid="{004AEC67-930A-43F8-9795-B3BEB2278CD0}" name="nu12" dataDxfId="6"/>
    <tableColumn id="14" xr3:uid="{7D93A066-7B63-4EDF-BA1F-A147F25B2022}" name="nu13" dataDxfId="5"/>
    <tableColumn id="15" xr3:uid="{1E56E1F1-C58A-4D58-88BE-E591E4C6E3DF}" name="nu23" dataDxfId="4"/>
    <tableColumn id="17" xr3:uid="{EC9B7E86-2ED5-4F64-96B9-1D9A1533C099}" name="Tempo_s" dataDxfId="3"/>
    <tableColumn id="47" xr3:uid="{90E76C66-F850-4EB4-AD49-4C848DD038B0}" name="E_avg" dataDxfId="2">
      <calculatedColumnFormula>AVERAGE(Tabela5[[#This Row],[E1_GPa]:[E3_GPa]])</calculatedColumnFormula>
    </tableColumn>
    <tableColumn id="46" xr3:uid="{4311FAC4-8464-4369-B5BD-73BE589CEAC0}" name="G_avg" dataDxfId="1">
      <calculatedColumnFormula>AVERAGE(Tabela5[[#This Row],[G12_GPa]:[G23_GPa]])</calculatedColumnFormula>
    </tableColumn>
    <tableColumn id="45" xr3:uid="{101B4D62-0B47-42DB-AEB2-49B3EAD69955}" name="nu_avg" dataDxfId="0">
      <calculatedColumnFormula>AVERAGE(Tabela5[[#This Row],[nu12]:[nu23]])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83D5E4-0DC0-43F5-A220-8BCE7044F092}" name="Tabela2" displayName="Tabela2" ref="A1:O11" totalsRowShown="0">
  <autoFilter ref="A1:O11" xr:uid="{0B83D5E4-0DC0-43F5-A220-8BCE7044F092}"/>
  <sortState xmlns:xlrd2="http://schemas.microsoft.com/office/spreadsheetml/2017/richdata2" ref="A2:L11">
    <sortCondition ref="A1:A11"/>
  </sortState>
  <tableColumns count="15">
    <tableColumn id="5" xr3:uid="{A1A7332B-FB92-4E75-98A6-28139C017F37}" name="num_nos"/>
    <tableColumn id="6" xr3:uid="{36026E06-494F-4230-93AF-1264F277DD79}" name="num_elementos"/>
    <tableColumn id="7" xr3:uid="{4C7D2261-C073-4318-8C94-9D1373CBB281}" name="E1_GPa"/>
    <tableColumn id="8" xr3:uid="{46839BC9-95C8-43D0-AD62-711CD4EFFB1A}" name="E2_GPa"/>
    <tableColumn id="9" xr3:uid="{EC2B2EED-A012-4D58-9A6F-0748DE287A90}" name="E3_GPa"/>
    <tableColumn id="10" xr3:uid="{43E2FFF9-3DA1-45D2-88C5-07B010596352}" name="G12_GPa"/>
    <tableColumn id="11" xr3:uid="{9AC873ED-069E-47E2-B00D-C33CB292086A}" name="G13_GPa"/>
    <tableColumn id="12" xr3:uid="{A4CC19F2-6EF7-40A3-A24F-BD21E2ECE0CA}" name="G23_GPa"/>
    <tableColumn id="13" xr3:uid="{78BE7DF9-DE58-409C-A799-57D2C357AC4F}" name="nu12"/>
    <tableColumn id="14" xr3:uid="{96033A2B-02EF-4802-9C27-4D657102933E}" name="nu13"/>
    <tableColumn id="15" xr3:uid="{D22859A1-D556-418A-AB30-4A7DE101CE43}" name="nu23"/>
    <tableColumn id="17" xr3:uid="{22F863C8-A2CB-437C-953B-293793E65EC3}" name="Tempo_s"/>
    <tableColumn id="21" xr3:uid="{CDEF3755-18B6-4590-9410-5E6ED4DE89CB}" name="E_avg">
      <calculatedColumnFormula>AVERAGE(Tabela2[[#This Row],[E1_GPa]:[E3_GPa]])</calculatedColumnFormula>
    </tableColumn>
    <tableColumn id="22" xr3:uid="{B759F599-72BE-4F45-A231-FBC99B3C2C30}" name="G_avg">
      <calculatedColumnFormula>AVERAGE(Tabela2[[#This Row],[G12_GPa]:[G23_GPa]])</calculatedColumnFormula>
    </tableColumn>
    <tableColumn id="23" xr3:uid="{52DA3B52-1814-4EE9-8126-AAFD418027F2}" name="nu_avg">
      <calculatedColumnFormula>AVERAGE(Tabela2[[#This Row],[nu12]:[nu23]])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A47A4-2CBA-4F5D-88DB-49372FD2FFEF}">
  <dimension ref="A1:N7"/>
  <sheetViews>
    <sheetView tabSelected="1" workbookViewId="0"/>
  </sheetViews>
  <sheetFormatPr defaultRowHeight="15"/>
  <sheetData>
    <row r="1" spans="1:14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>
      <c r="A2">
        <v>1941</v>
      </c>
      <c r="B2" s="1">
        <v>98.7945073978849</v>
      </c>
      <c r="C2" s="1">
        <v>98.785269347677996</v>
      </c>
      <c r="D2" s="1">
        <v>98.787773497979401</v>
      </c>
      <c r="E2" s="1">
        <v>34.934188989607399</v>
      </c>
      <c r="F2" s="1">
        <v>34.947658227319998</v>
      </c>
      <c r="G2" s="1">
        <v>34.9360494349135</v>
      </c>
      <c r="H2" s="1">
        <v>0.30099493263319599</v>
      </c>
      <c r="I2" s="1">
        <v>0.30102646376247999</v>
      </c>
      <c r="J2" s="1">
        <v>0.30103926055375702</v>
      </c>
      <c r="K2" s="1">
        <v>10.5468208789825</v>
      </c>
      <c r="L2" s="1">
        <f>AVERAGE(Tabela5[[#This Row],[E1_GPa]:[E3_GPa]])</f>
        <v>98.789183414514085</v>
      </c>
      <c r="M2" s="1">
        <f>AVERAGE(Tabela5[[#This Row],[G12_GPa]:[G23_GPa]])</f>
        <v>34.939298883946968</v>
      </c>
      <c r="N2" s="1">
        <f>AVERAGE(Tabela5[[#This Row],[nu12]:[nu23]])</f>
        <v>0.30102021898314435</v>
      </c>
    </row>
    <row r="3" spans="1:14">
      <c r="A3">
        <v>2933</v>
      </c>
      <c r="B3" s="1">
        <v>98.523701208427298</v>
      </c>
      <c r="C3" s="1">
        <v>98.525279200254303</v>
      </c>
      <c r="D3" s="1">
        <v>98.536450702368896</v>
      </c>
      <c r="E3" s="1">
        <v>34.848559031802999</v>
      </c>
      <c r="F3" s="1">
        <v>34.859127276191202</v>
      </c>
      <c r="G3" s="1">
        <v>34.864416425371502</v>
      </c>
      <c r="H3" s="1">
        <v>0.30157948794025702</v>
      </c>
      <c r="I3" s="1">
        <v>0.30141182862558402</v>
      </c>
      <c r="J3" s="1">
        <v>0.30137086683414799</v>
      </c>
      <c r="K3" s="1">
        <v>17.534523487091001</v>
      </c>
      <c r="L3" s="1">
        <f>AVERAGE(Tabela5[[#This Row],[E1_GPa]:[E3_GPa]])</f>
        <v>98.528477037016827</v>
      </c>
      <c r="M3" s="1">
        <f>AVERAGE(Tabela5[[#This Row],[G12_GPa]:[G23_GPa]])</f>
        <v>34.857367577788573</v>
      </c>
      <c r="N3" s="1">
        <f>AVERAGE(Tabela5[[#This Row],[nu12]:[nu23]])</f>
        <v>0.30145406113332968</v>
      </c>
    </row>
    <row r="4" spans="1:14">
      <c r="A4">
        <v>4467</v>
      </c>
      <c r="B4" s="1">
        <v>98.384981558763798</v>
      </c>
      <c r="C4" s="1">
        <v>98.380679295474707</v>
      </c>
      <c r="D4" s="1">
        <v>98.376613513566298</v>
      </c>
      <c r="E4" s="1">
        <v>34.811379862415201</v>
      </c>
      <c r="F4" s="1">
        <v>34.812589912967603</v>
      </c>
      <c r="G4" s="1">
        <v>34.812029906641399</v>
      </c>
      <c r="H4" s="1">
        <v>0.30173613046842801</v>
      </c>
      <c r="I4" s="1">
        <v>0.30177971671304799</v>
      </c>
      <c r="J4" s="1">
        <v>0.301788059440733</v>
      </c>
      <c r="K4" s="1">
        <v>44.323621511459301</v>
      </c>
      <c r="L4" s="1">
        <f>AVERAGE(Tabela5[[#This Row],[E1_GPa]:[E3_GPa]])</f>
        <v>98.380758122601605</v>
      </c>
      <c r="M4" s="1">
        <f>AVERAGE(Tabela5[[#This Row],[G12_GPa]:[G23_GPa]])</f>
        <v>34.811999894008068</v>
      </c>
      <c r="N4" s="1">
        <f>AVERAGE(Tabela5[[#This Row],[nu12]:[nu23]])</f>
        <v>0.3017679688740697</v>
      </c>
    </row>
    <row r="5" spans="1:14">
      <c r="A5">
        <v>10197</v>
      </c>
      <c r="B5" s="1">
        <v>98.192708002603595</v>
      </c>
      <c r="C5" s="1">
        <v>98.193569543519999</v>
      </c>
      <c r="D5" s="1">
        <v>98.196167487880601</v>
      </c>
      <c r="E5" s="1">
        <v>34.768009991335603</v>
      </c>
      <c r="F5" s="1">
        <v>34.769589997507097</v>
      </c>
      <c r="G5" s="1">
        <v>34.769579992472401</v>
      </c>
      <c r="H5" s="1">
        <v>0.302123112932073</v>
      </c>
      <c r="I5" s="1">
        <v>0.30210647009441899</v>
      </c>
      <c r="J5" s="1">
        <v>0.30210591007861598</v>
      </c>
      <c r="K5" s="1">
        <v>279.54725980758599</v>
      </c>
      <c r="L5" s="1">
        <f>AVERAGE(Tabela5[[#This Row],[E1_GPa]:[E3_GPa]])</f>
        <v>98.194148344668065</v>
      </c>
      <c r="M5" s="1">
        <f>AVERAGE(Tabela5[[#This Row],[G12_GPa]:[G23_GPa]])</f>
        <v>34.769059993771698</v>
      </c>
      <c r="N5" s="1">
        <f>AVERAGE(Tabela5[[#This Row],[nu12]:[nu23]])</f>
        <v>0.30211183103503597</v>
      </c>
    </row>
    <row r="6" spans="1:14">
      <c r="A6">
        <v>28775</v>
      </c>
      <c r="B6" s="1">
        <v>98.1505989678855</v>
      </c>
      <c r="C6" s="1">
        <v>98.150686254250402</v>
      </c>
      <c r="D6" s="1">
        <v>98.150769989199205</v>
      </c>
      <c r="E6" s="1">
        <v>34.756209973071499</v>
      </c>
      <c r="F6" s="1">
        <v>34.756579995413503</v>
      </c>
      <c r="G6" s="1">
        <v>34.7564499980137</v>
      </c>
      <c r="H6" s="1">
        <v>0.30219347517310302</v>
      </c>
      <c r="I6" s="1">
        <v>0.30219545675204801</v>
      </c>
      <c r="J6" s="1">
        <v>0.302196515713341</v>
      </c>
      <c r="K6" s="1">
        <v>3150.6773536205201</v>
      </c>
      <c r="L6" s="1">
        <f>AVERAGE(Tabela5[[#This Row],[E1_GPa]:[E3_GPa]])</f>
        <v>98.150685070445036</v>
      </c>
      <c r="M6" s="1">
        <f>AVERAGE(Tabela5[[#This Row],[G12_GPa]:[G23_GPa]])</f>
        <v>34.756413322166232</v>
      </c>
      <c r="N6" s="1">
        <f>AVERAGE(Tabela5[[#This Row],[nu12]:[nu23]])</f>
        <v>0.30219514921283069</v>
      </c>
    </row>
    <row r="7" spans="1:14">
      <c r="A7">
        <v>68600</v>
      </c>
      <c r="B7" s="1">
        <v>98.140709999999999</v>
      </c>
      <c r="C7" s="1">
        <v>98.140609999999995</v>
      </c>
      <c r="D7" s="1">
        <v>98.140709999999999</v>
      </c>
      <c r="E7" s="1">
        <v>34.754219999999997</v>
      </c>
      <c r="F7" s="1">
        <v>34.75423</v>
      </c>
      <c r="G7" s="1">
        <v>34.754240000000003</v>
      </c>
      <c r="H7" s="1">
        <v>0.30222990999999999</v>
      </c>
      <c r="I7" s="1">
        <v>0.30222924000000001</v>
      </c>
      <c r="J7" s="1">
        <v>0.30222947</v>
      </c>
      <c r="K7" s="1">
        <v>24403</v>
      </c>
      <c r="L7" s="1">
        <f>AVERAGE(Tabela5[[#This Row],[E1_GPa]:[E3_GPa]])</f>
        <v>98.140676666666664</v>
      </c>
      <c r="M7" s="1">
        <f>AVERAGE(Tabela5[[#This Row],[G12_GPa]:[G23_GPa]])</f>
        <v>34.75423</v>
      </c>
      <c r="N7" s="1">
        <f>AVERAGE(Tabela5[[#This Row],[nu12]:[nu23]])</f>
        <v>0.30222954000000002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4B00-98F7-4D9C-91AA-DC13B2004256}">
  <dimension ref="A1:O11"/>
  <sheetViews>
    <sheetView workbookViewId="0">
      <selection activeCell="E18" sqref="E18"/>
    </sheetView>
  </sheetViews>
  <sheetFormatPr defaultRowHeight="15"/>
  <cols>
    <col min="12" max="12" width="10.6640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313</v>
      </c>
      <c r="B2">
        <v>1094</v>
      </c>
      <c r="C2" s="2">
        <v>103.193651387228</v>
      </c>
      <c r="D2" s="2">
        <v>102.816205966734</v>
      </c>
      <c r="E2" s="2">
        <v>103.06987297203</v>
      </c>
      <c r="F2" s="2">
        <v>36.215781380308002</v>
      </c>
      <c r="G2" s="2">
        <v>36.3620599226088</v>
      </c>
      <c r="H2" s="2">
        <v>36.2432665869771</v>
      </c>
      <c r="I2" s="2">
        <v>0.29324086950290601</v>
      </c>
      <c r="J2" s="2">
        <v>0.292469988675093</v>
      </c>
      <c r="K2" s="2">
        <v>0.292703389633302</v>
      </c>
      <c r="L2" s="2">
        <v>6.0346126556396401E-2</v>
      </c>
      <c r="M2" s="2">
        <f>AVERAGE(Tabela2[[#This Row],[E1_GPa]:[E3_GPa]])</f>
        <v>103.02657677533067</v>
      </c>
      <c r="N2" s="2">
        <f>AVERAGE(Tabela2[[#This Row],[G12_GPa]:[G23_GPa]])</f>
        <v>36.273702629964632</v>
      </c>
      <c r="O2" s="2">
        <f>AVERAGE(Tabela2[[#This Row],[nu12]:[nu23]])</f>
        <v>0.29280474927043371</v>
      </c>
    </row>
    <row r="3" spans="1:15">
      <c r="A3">
        <v>445</v>
      </c>
      <c r="B3">
        <v>1786</v>
      </c>
      <c r="C3" s="2">
        <v>101.811853970934</v>
      </c>
      <c r="D3" s="2">
        <v>101.90914716381199</v>
      </c>
      <c r="E3" s="2">
        <v>102.15997557546</v>
      </c>
      <c r="F3" s="2">
        <v>35.769920374552299</v>
      </c>
      <c r="G3" s="2">
        <v>35.8187235138845</v>
      </c>
      <c r="H3" s="2">
        <v>35.896058503193402</v>
      </c>
      <c r="I3" s="2">
        <v>0.29588170228571797</v>
      </c>
      <c r="J3" s="2">
        <v>0.29391324709187699</v>
      </c>
      <c r="K3" s="2">
        <v>0.29361612042961199</v>
      </c>
      <c r="L3" s="2">
        <v>0.124669790267944</v>
      </c>
      <c r="M3" s="2">
        <f>AVERAGE(Tabela2[[#This Row],[E1_GPa]:[E3_GPa]])</f>
        <v>101.96032557006866</v>
      </c>
      <c r="N3" s="2">
        <f>AVERAGE(Tabela2[[#This Row],[G12_GPa]:[G23_GPa]])</f>
        <v>35.8282341305434</v>
      </c>
      <c r="O3" s="2">
        <f>AVERAGE(Tabela2[[#This Row],[nu12]:[nu23]])</f>
        <v>0.29447035660240228</v>
      </c>
    </row>
    <row r="4" spans="1:15">
      <c r="A4">
        <v>647</v>
      </c>
      <c r="B4">
        <v>2856</v>
      </c>
      <c r="C4" s="2">
        <v>101.257404484275</v>
      </c>
      <c r="D4" s="2">
        <v>101.188182604424</v>
      </c>
      <c r="E4" s="2">
        <v>101.180442145431</v>
      </c>
      <c r="F4" s="2">
        <v>35.596383671997998</v>
      </c>
      <c r="G4" s="2">
        <v>35.613790899585403</v>
      </c>
      <c r="H4" s="2">
        <v>35.635061188622302</v>
      </c>
      <c r="I4" s="2">
        <v>0.29628197948549301</v>
      </c>
      <c r="J4" s="2">
        <v>0.29621530465145801</v>
      </c>
      <c r="K4" s="2">
        <v>0.29672255997756503</v>
      </c>
      <c r="L4" s="2">
        <v>0.284455776214599</v>
      </c>
      <c r="M4" s="2">
        <f>AVERAGE(Tabela2[[#This Row],[E1_GPa]:[E3_GPa]])</f>
        <v>101.20867641137666</v>
      </c>
      <c r="N4" s="2">
        <f>AVERAGE(Tabela2[[#This Row],[G12_GPa]:[G23_GPa]])</f>
        <v>35.61507858673523</v>
      </c>
      <c r="O4" s="2">
        <f>AVERAGE(Tabela2[[#This Row],[nu12]:[nu23]])</f>
        <v>0.2964066147048387</v>
      </c>
    </row>
    <row r="5" spans="1:15">
      <c r="A5">
        <v>1415</v>
      </c>
      <c r="B5">
        <v>6812</v>
      </c>
      <c r="C5" s="2">
        <v>99.638703281254607</v>
      </c>
      <c r="D5" s="2">
        <v>99.633330514611103</v>
      </c>
      <c r="E5" s="2">
        <v>99.657414686979706</v>
      </c>
      <c r="F5" s="2">
        <v>35.194608730199299</v>
      </c>
      <c r="G5" s="2">
        <v>35.223177489419101</v>
      </c>
      <c r="H5" s="2">
        <v>35.214518578658399</v>
      </c>
      <c r="I5" s="2">
        <v>0.29928897625839601</v>
      </c>
      <c r="J5" s="2">
        <v>0.29919079183651098</v>
      </c>
      <c r="K5" s="2">
        <v>0.299247659575133</v>
      </c>
      <c r="L5" s="2">
        <v>1.80328822135925</v>
      </c>
      <c r="M5" s="2">
        <f>AVERAGE(Tabela2[[#This Row],[E1_GPa]:[E3_GPa]])</f>
        <v>99.643149494281786</v>
      </c>
      <c r="N5" s="2">
        <f>AVERAGE(Tabela2[[#This Row],[G12_GPa]:[G23_GPa]])</f>
        <v>35.210768266092266</v>
      </c>
      <c r="O5" s="2">
        <f>AVERAGE(Tabela2[[#This Row],[nu12]:[nu23]])</f>
        <v>0.29924247589001335</v>
      </c>
    </row>
    <row r="6" spans="1:15">
      <c r="A6">
        <v>3831</v>
      </c>
      <c r="B6">
        <v>19974</v>
      </c>
      <c r="C6" s="2">
        <v>98.977751898919493</v>
      </c>
      <c r="D6" s="2">
        <v>98.989442397528904</v>
      </c>
      <c r="E6" s="2">
        <v>98.969223638261397</v>
      </c>
      <c r="F6" s="2">
        <v>34.988339357166097</v>
      </c>
      <c r="G6" s="2">
        <v>34.995689520758901</v>
      </c>
      <c r="H6" s="2">
        <v>34.989419834556301</v>
      </c>
      <c r="I6" s="2">
        <v>0.30046834206982398</v>
      </c>
      <c r="J6" s="2">
        <v>0.300584760799811</v>
      </c>
      <c r="K6" s="2">
        <v>0.30055421212065198</v>
      </c>
      <c r="L6" s="2">
        <v>23.550828933715799</v>
      </c>
      <c r="M6" s="2">
        <f>AVERAGE(Tabela2[[#This Row],[E1_GPa]:[E3_GPa]])</f>
        <v>98.978805978236593</v>
      </c>
      <c r="N6" s="2">
        <f>AVERAGE(Tabela2[[#This Row],[G12_GPa]:[G23_GPa]])</f>
        <v>34.991149570827098</v>
      </c>
      <c r="O6" s="2">
        <f>AVERAGE(Tabela2[[#This Row],[nu12]:[nu23]])</f>
        <v>0.30053577166342899</v>
      </c>
    </row>
    <row r="7" spans="1:15">
      <c r="A7">
        <v>8877</v>
      </c>
      <c r="B7">
        <v>48783</v>
      </c>
      <c r="C7" s="2">
        <v>98.615980267964304</v>
      </c>
      <c r="D7" s="2">
        <v>98.617423987094</v>
      </c>
      <c r="E7" s="2">
        <v>98.615564174534498</v>
      </c>
      <c r="F7" s="2">
        <v>34.889399933165002</v>
      </c>
      <c r="G7" s="2">
        <v>34.888179808963997</v>
      </c>
      <c r="H7" s="2">
        <v>34.890209876295302</v>
      </c>
      <c r="I7" s="2">
        <v>0.301267548413376</v>
      </c>
      <c r="J7" s="2">
        <v>0.30128525276035201</v>
      </c>
      <c r="K7" s="2">
        <v>0.30129028431402699</v>
      </c>
      <c r="L7" s="2">
        <v>177.37077307701099</v>
      </c>
      <c r="M7" s="2">
        <f>AVERAGE(Tabela2[[#This Row],[E1_GPa]:[E3_GPa]])</f>
        <v>98.616322809864258</v>
      </c>
      <c r="N7" s="2">
        <f>AVERAGE(Tabela2[[#This Row],[G12_GPa]:[G23_GPa]])</f>
        <v>34.889263206141436</v>
      </c>
      <c r="O7" s="2">
        <f>AVERAGE(Tabela2[[#This Row],[nu12]:[nu23]])</f>
        <v>0.30128102849591837</v>
      </c>
    </row>
    <row r="8" spans="1:15">
      <c r="A8">
        <v>27362</v>
      </c>
      <c r="B8">
        <v>156774</v>
      </c>
      <c r="C8" s="2">
        <v>98.358036255651001</v>
      </c>
      <c r="D8" s="2">
        <v>98.358786993859098</v>
      </c>
      <c r="E8" s="2">
        <v>98.359826094607399</v>
      </c>
      <c r="F8" s="2">
        <v>34.815739983617704</v>
      </c>
      <c r="G8" s="2">
        <v>34.815739986189499</v>
      </c>
      <c r="H8" s="2">
        <v>34.816439992761701</v>
      </c>
      <c r="I8" s="2">
        <v>0.30179421461815398</v>
      </c>
      <c r="J8" s="2">
        <v>0.30178915931292299</v>
      </c>
      <c r="K8" s="2">
        <v>0.30178787021078601</v>
      </c>
      <c r="L8" s="2">
        <v>2497.5789875984101</v>
      </c>
      <c r="M8" s="2">
        <f>AVERAGE(Tabela2[[#This Row],[E1_GPa]:[E3_GPa]])</f>
        <v>98.358883114705847</v>
      </c>
      <c r="N8" s="2">
        <f>AVERAGE(Tabela2[[#This Row],[G12_GPa]:[G23_GPa]])</f>
        <v>34.815973320856301</v>
      </c>
      <c r="O8" s="2">
        <f>AVERAGE(Tabela2[[#This Row],[nu12]:[nu23]])</f>
        <v>0.30179041471395435</v>
      </c>
    </row>
    <row r="9" spans="1:15">
      <c r="A9">
        <v>36921</v>
      </c>
      <c r="B9">
        <v>213428</v>
      </c>
      <c r="C9" s="2">
        <v>98.315455022418803</v>
      </c>
      <c r="D9" s="2">
        <v>98.316629154482499</v>
      </c>
      <c r="E9" s="2">
        <v>98.315370016094704</v>
      </c>
      <c r="F9" s="2">
        <v>34.8042799961718</v>
      </c>
      <c r="G9" s="2">
        <v>34.803969997770103</v>
      </c>
      <c r="H9" s="2">
        <v>34.804009999585197</v>
      </c>
      <c r="I9" s="2">
        <v>0.30187308268661001</v>
      </c>
      <c r="J9" s="2">
        <v>0.30188184950452701</v>
      </c>
      <c r="K9" s="2">
        <v>0.30187246275490398</v>
      </c>
      <c r="L9" s="2">
        <v>5284.32267808914</v>
      </c>
      <c r="M9" s="2">
        <f>AVERAGE(Tabela2[[#This Row],[E1_GPa]:[E3_GPa]])</f>
        <v>98.315818064332007</v>
      </c>
      <c r="N9" s="2">
        <f>AVERAGE(Tabela2[[#This Row],[G12_GPa]:[G23_GPa]])</f>
        <v>34.804086664509036</v>
      </c>
      <c r="O9" s="2">
        <f>AVERAGE(Tabela2[[#This Row],[nu12]:[nu23]])</f>
        <v>0.301875798315347</v>
      </c>
    </row>
    <row r="10" spans="1:15">
      <c r="A10">
        <v>51197</v>
      </c>
      <c r="B10">
        <v>298506</v>
      </c>
      <c r="C10" s="2">
        <v>98.2809827769848</v>
      </c>
      <c r="D10" s="2">
        <v>98.279952540843396</v>
      </c>
      <c r="E10" s="2">
        <v>98.279320761654901</v>
      </c>
      <c r="F10" s="2">
        <v>34.793999999666802</v>
      </c>
      <c r="G10" s="2">
        <v>34.793969999656603</v>
      </c>
      <c r="H10" s="2">
        <v>34.793889999620099</v>
      </c>
      <c r="I10" s="2">
        <v>0.30194880656902401</v>
      </c>
      <c r="J10" s="2">
        <v>0.30195266384097902</v>
      </c>
      <c r="K10" s="2">
        <v>0.301956675441029</v>
      </c>
      <c r="L10" s="2">
        <v>11117.991908550201</v>
      </c>
      <c r="M10" s="2">
        <f>AVERAGE(Tabela2[[#This Row],[E1_GPa]:[E3_GPa]])</f>
        <v>98.280085359827694</v>
      </c>
      <c r="N10" s="2">
        <f>AVERAGE(Tabela2[[#This Row],[G12_GPa]:[G23_GPa]])</f>
        <v>34.793953332981168</v>
      </c>
      <c r="O10" s="2">
        <f>AVERAGE(Tabela2[[#This Row],[nu12]:[nu23]])</f>
        <v>0.30195271528367734</v>
      </c>
    </row>
    <row r="11" spans="1:15">
      <c r="A11">
        <v>77676</v>
      </c>
      <c r="B11">
        <v>457563</v>
      </c>
      <c r="C11" s="2">
        <v>98.243840842238995</v>
      </c>
      <c r="D11" s="2">
        <v>98.243898528846501</v>
      </c>
      <c r="E11" s="2">
        <v>98.243433639673597</v>
      </c>
      <c r="F11" s="2">
        <v>34.783469998398601</v>
      </c>
      <c r="G11" s="2">
        <v>34.783539999188498</v>
      </c>
      <c r="H11" s="2">
        <v>34.783419999658499</v>
      </c>
      <c r="I11" s="2">
        <v>0.30201891134930797</v>
      </c>
      <c r="J11" s="2">
        <v>0.30202448298919499</v>
      </c>
      <c r="K11" s="2">
        <v>0.30202029486500098</v>
      </c>
      <c r="L11" s="2">
        <v>28771.381960391998</v>
      </c>
      <c r="M11" s="2">
        <f>AVERAGE(Tabela2[[#This Row],[E1_GPa]:[E3_GPa]])</f>
        <v>98.243724336919698</v>
      </c>
      <c r="N11" s="2">
        <f>AVERAGE(Tabela2[[#This Row],[G12_GPa]:[G23_GPa]])</f>
        <v>34.78347666574853</v>
      </c>
      <c r="O11" s="2">
        <f>AVERAGE(Tabela2[[#This Row],[nu12]:[nu23]])</f>
        <v>0.3020212297345013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T10</vt:lpstr>
      <vt:lpstr>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Viny Pereira</dc:creator>
  <cp:lastModifiedBy>Viny Pereira</cp:lastModifiedBy>
  <dcterms:created xsi:type="dcterms:W3CDTF">2026-03-26T13:21:08Z</dcterms:created>
  <dcterms:modified xsi:type="dcterms:W3CDTF">2026-03-26T13:30:24Z</dcterms:modified>
</cp:coreProperties>
</file>