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up\OneDrive - Universidade Federal do Ceará\Documentos\MESTRADO\PESQUISA\DISSERTACAO\MATERIAL_APOIO\"/>
    </mc:Choice>
  </mc:AlternateContent>
  <xr:revisionPtr revIDLastSave="0" documentId="13_ncr:1_{EE21C6AD-69D3-461A-BC57-C072FC33E661}" xr6:coauthVersionLast="47" xr6:coauthVersionMax="47" xr10:uidLastSave="{00000000-0000-0000-0000-000000000000}"/>
  <bookViews>
    <workbookView xWindow="-120" yWindow="-120" windowWidth="20730" windowHeight="11760" xr2:uid="{FD248958-D6A7-4DD0-B6D8-969B57F26C90}"/>
  </bookViews>
  <sheets>
    <sheet name="vf=0" sheetId="1" r:id="rId1"/>
    <sheet name="vf=10" sheetId="2" r:id="rId2"/>
    <sheet name="vf=20" sheetId="3" r:id="rId3"/>
    <sheet name="vf=3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</calcChain>
</file>

<file path=xl/sharedStrings.xml><?xml version="1.0" encoding="utf-8"?>
<sst xmlns="http://schemas.openxmlformats.org/spreadsheetml/2006/main" count="40" uniqueCount="26">
  <si>
    <t>True_Strain</t>
  </si>
  <si>
    <t>True_Stress</t>
  </si>
  <si>
    <t>True_Strain2</t>
  </si>
  <si>
    <t>True_Stress2</t>
  </si>
  <si>
    <t>Deformacao_XX</t>
  </si>
  <si>
    <t>Tensao_XX</t>
  </si>
  <si>
    <t>Def</t>
  </si>
  <si>
    <t>Stress</t>
  </si>
  <si>
    <t>Axis</t>
  </si>
  <si>
    <t>Plane Strain (Q4)</t>
  </si>
  <si>
    <t>Passo</t>
  </si>
  <si>
    <t>LF</t>
  </si>
  <si>
    <t>Tensao_YY</t>
  </si>
  <si>
    <t>Tensao_ZZ</t>
  </si>
  <si>
    <t>Tensao_XY</t>
  </si>
  <si>
    <t>Tensao_XZ</t>
  </si>
  <si>
    <t>Tensao_YZ</t>
  </si>
  <si>
    <t>Strain</t>
  </si>
  <si>
    <t>(Brick8)</t>
  </si>
  <si>
    <t xml:space="preserve">Usar o expoencial para aproximar a curva </t>
  </si>
  <si>
    <t>Processar o modelo brick8 no jive</t>
  </si>
  <si>
    <t>Dogbone</t>
  </si>
  <si>
    <t xml:space="preserve">Linear x Exponencial </t>
  </si>
  <si>
    <t>Slide com essas informaçoes</t>
  </si>
  <si>
    <t xml:space="preserve">Criar um slide explicando o passo a passo para chegar até aqui, incluindo as equações e formulações </t>
  </si>
  <si>
    <t xml:space="preserve">Incluindo as formuçãoes de linear e exponencial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</si>
</sst>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Body Font"/>
      <family val="2"/>
    </font>
    <font>
      <b/>
      <sz val="12"/>
      <color theme="0"/>
      <name val="Body Font"/>
      <family val="2"/>
    </font>
    <font>
      <sz val="8"/>
      <name val="Body Font"/>
      <family val="2"/>
    </font>
    <font>
      <sz val="11"/>
      <color rgb="FFBBBE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'vf=0'!$T$1</c:f>
              <c:strCache>
                <c:ptCount val="1"/>
                <c:pt idx="0">
                  <c:v>(Brick8)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'vf=0'!$S$2:$S$22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3.5211299999999998E-4</c:v>
                </c:pt>
                <c:pt idx="2" formatCode="General">
                  <c:v>7.0422499999999995E-4</c:v>
                </c:pt>
                <c:pt idx="3">
                  <c:v>1.05634E-3</c:v>
                </c:pt>
                <c:pt idx="4">
                  <c:v>1.4084499999999999E-3</c:v>
                </c:pt>
                <c:pt idx="5">
                  <c:v>1.76056E-3</c:v>
                </c:pt>
                <c:pt idx="6">
                  <c:v>2.11268E-3</c:v>
                </c:pt>
                <c:pt idx="7">
                  <c:v>2.4647900000000001E-3</c:v>
                </c:pt>
                <c:pt idx="8">
                  <c:v>2.8168999999999998E-3</c:v>
                </c:pt>
                <c:pt idx="9">
                  <c:v>3.1690099999999999E-3</c:v>
                </c:pt>
                <c:pt idx="10">
                  <c:v>3.5211299999999999E-3</c:v>
                </c:pt>
                <c:pt idx="11">
                  <c:v>3.87324E-3</c:v>
                </c:pt>
                <c:pt idx="12">
                  <c:v>4.2253500000000001E-3</c:v>
                </c:pt>
                <c:pt idx="13">
                  <c:v>4.5774600000000002E-3</c:v>
                </c:pt>
                <c:pt idx="14">
                  <c:v>4.9295800000000002E-3</c:v>
                </c:pt>
                <c:pt idx="15">
                  <c:v>5.2816900000000003E-3</c:v>
                </c:pt>
                <c:pt idx="16">
                  <c:v>5.6337999999999996E-3</c:v>
                </c:pt>
                <c:pt idx="17">
                  <c:v>5.9859199999999996E-3</c:v>
                </c:pt>
                <c:pt idx="18">
                  <c:v>2.1955800000000001E-2</c:v>
                </c:pt>
                <c:pt idx="19">
                  <c:v>4.7646599999999997E-2</c:v>
                </c:pt>
                <c:pt idx="20">
                  <c:v>7.3337299999999994E-2</c:v>
                </c:pt>
              </c:numCache>
            </c:numRef>
          </c:xVal>
          <c:yVal>
            <c:numRef>
              <c:f>'vf=0'!$T$2:$T$22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27.5</c:v>
                </c:pt>
                <c:pt idx="2">
                  <c:v>55</c:v>
                </c:pt>
                <c:pt idx="3">
                  <c:v>82.5</c:v>
                </c:pt>
                <c:pt idx="4">
                  <c:v>110</c:v>
                </c:pt>
                <c:pt idx="5">
                  <c:v>137.5</c:v>
                </c:pt>
                <c:pt idx="6">
                  <c:v>165</c:v>
                </c:pt>
                <c:pt idx="7">
                  <c:v>192.5</c:v>
                </c:pt>
                <c:pt idx="8">
                  <c:v>220</c:v>
                </c:pt>
                <c:pt idx="9">
                  <c:v>247.5</c:v>
                </c:pt>
                <c:pt idx="10">
                  <c:v>275</c:v>
                </c:pt>
                <c:pt idx="11">
                  <c:v>302.5</c:v>
                </c:pt>
                <c:pt idx="12">
                  <c:v>330</c:v>
                </c:pt>
                <c:pt idx="13">
                  <c:v>357.5</c:v>
                </c:pt>
                <c:pt idx="14">
                  <c:v>385</c:v>
                </c:pt>
                <c:pt idx="15">
                  <c:v>412.5</c:v>
                </c:pt>
                <c:pt idx="16">
                  <c:v>440</c:v>
                </c:pt>
                <c:pt idx="17">
                  <c:v>467.5</c:v>
                </c:pt>
                <c:pt idx="18">
                  <c:v>495</c:v>
                </c:pt>
                <c:pt idx="19">
                  <c:v>522.5</c:v>
                </c:pt>
                <c:pt idx="20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2-4A3A-95E3-CCA4DFDDF247}"/>
            </c:ext>
          </c:extLst>
        </c:ser>
        <c:ser>
          <c:idx val="3"/>
          <c:order val="1"/>
          <c:tx>
            <c:v>Experimental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'vf=0'!$E$2:$E$74</c:f>
              <c:numCache>
                <c:formatCode>General</c:formatCode>
                <c:ptCount val="73"/>
                <c:pt idx="0">
                  <c:v>2.2223139891641708E-5</c:v>
                </c:pt>
                <c:pt idx="1">
                  <c:v>5.6121656324314984E-4</c:v>
                </c:pt>
                <c:pt idx="2">
                  <c:v>8.7624391000740154E-4</c:v>
                </c:pt>
                <c:pt idx="3">
                  <c:v>1.1366251922506621E-3</c:v>
                </c:pt>
                <c:pt idx="4">
                  <c:v>1.4078789155484994E-3</c:v>
                </c:pt>
                <c:pt idx="5">
                  <c:v>1.6405915270969462E-3</c:v>
                </c:pt>
                <c:pt idx="6">
                  <c:v>1.873626340568757E-3</c:v>
                </c:pt>
                <c:pt idx="7">
                  <c:v>2.07551801588024E-3</c:v>
                </c:pt>
                <c:pt idx="8">
                  <c:v>2.3580437289820733E-3</c:v>
                </c:pt>
                <c:pt idx="9">
                  <c:v>2.5953751364480304E-3</c:v>
                </c:pt>
                <c:pt idx="10">
                  <c:v>2.8418907462577359E-3</c:v>
                </c:pt>
                <c:pt idx="11">
                  <c:v>3.1545343440357865E-3</c:v>
                </c:pt>
                <c:pt idx="12">
                  <c:v>3.4261505201680365E-3</c:v>
                </c:pt>
                <c:pt idx="13">
                  <c:v>3.6595270159409665E-3</c:v>
                </c:pt>
                <c:pt idx="14">
                  <c:v>3.8924626070231394E-3</c:v>
                </c:pt>
                <c:pt idx="15">
                  <c:v>4.1258158292161173E-3</c:v>
                </c:pt>
                <c:pt idx="16">
                  <c:v>4.3589176134197771E-3</c:v>
                </c:pt>
                <c:pt idx="17">
                  <c:v>4.6310364955117755E-3</c:v>
                </c:pt>
                <c:pt idx="18">
                  <c:v>4.9419273035213873E-3</c:v>
                </c:pt>
                <c:pt idx="19">
                  <c:v>5.2138269938875048E-3</c:v>
                </c:pt>
                <c:pt idx="20">
                  <c:v>5.4859506237669997E-3</c:v>
                </c:pt>
                <c:pt idx="21">
                  <c:v>5.7966547311123495E-3</c:v>
                </c:pt>
                <c:pt idx="22">
                  <c:v>6.1461904458337546E-3</c:v>
                </c:pt>
                <c:pt idx="23">
                  <c:v>6.5731061970644156E-3</c:v>
                </c:pt>
                <c:pt idx="24">
                  <c:v>7.231648863078588E-3</c:v>
                </c:pt>
                <c:pt idx="25">
                  <c:v>8.0828595180495455E-3</c:v>
                </c:pt>
                <c:pt idx="26">
                  <c:v>8.9340098150707536E-3</c:v>
                </c:pt>
                <c:pt idx="27">
                  <c:v>9.7857053438874519E-3</c:v>
                </c:pt>
                <c:pt idx="28">
                  <c:v>1.0638189259836839E-2</c:v>
                </c:pt>
                <c:pt idx="29">
                  <c:v>1.1491418918358365E-2</c:v>
                </c:pt>
                <c:pt idx="30">
                  <c:v>1.2345264601123063E-2</c:v>
                </c:pt>
                <c:pt idx="31">
                  <c:v>1.3199935455243672E-2</c:v>
                </c:pt>
                <c:pt idx="32">
                  <c:v>1.4055240789089263E-2</c:v>
                </c:pt>
                <c:pt idx="33">
                  <c:v>1.4911285569229049E-2</c:v>
                </c:pt>
                <c:pt idx="34">
                  <c:v>1.5768114060222382E-2</c:v>
                </c:pt>
                <c:pt idx="35">
                  <c:v>1.6625692108564349E-2</c:v>
                </c:pt>
                <c:pt idx="36">
                  <c:v>1.7483941759022459E-2</c:v>
                </c:pt>
                <c:pt idx="37">
                  <c:v>1.8342863490099948E-2</c:v>
                </c:pt>
                <c:pt idx="38">
                  <c:v>1.9202571552368042E-2</c:v>
                </c:pt>
                <c:pt idx="39">
                  <c:v>2.0062996640550113E-2</c:v>
                </c:pt>
                <c:pt idx="40">
                  <c:v>2.0924113045814652E-2</c:v>
                </c:pt>
                <c:pt idx="41">
                  <c:v>2.1786061674309298E-2</c:v>
                </c:pt>
                <c:pt idx="42">
                  <c:v>2.2648650218511479E-2</c:v>
                </c:pt>
                <c:pt idx="43">
                  <c:v>2.3512028477972846E-2</c:v>
                </c:pt>
                <c:pt idx="44">
                  <c:v>2.4376056485664988E-2</c:v>
                </c:pt>
                <c:pt idx="45">
                  <c:v>2.5240813888202762E-2</c:v>
                </c:pt>
                <c:pt idx="46">
                  <c:v>2.6106380599931756E-2</c:v>
                </c:pt>
                <c:pt idx="47">
                  <c:v>2.6972563433266483E-2</c:v>
                </c:pt>
                <c:pt idx="48">
                  <c:v>2.7839583360794729E-2</c:v>
                </c:pt>
                <c:pt idx="49">
                  <c:v>2.8707255768886331E-2</c:v>
                </c:pt>
                <c:pt idx="50">
                  <c:v>2.9575642959402737E-2</c:v>
                </c:pt>
                <c:pt idx="51">
                  <c:v>3.0444807443356314E-2</c:v>
                </c:pt>
                <c:pt idx="52">
                  <c:v>3.131479422999961E-2</c:v>
                </c:pt>
                <c:pt idx="53">
                  <c:v>3.2185338268370112E-2</c:v>
                </c:pt>
                <c:pt idx="54">
                  <c:v>3.3056696978168043E-2</c:v>
                </c:pt>
                <c:pt idx="55">
                  <c:v>3.3928826791233213E-2</c:v>
                </c:pt>
                <c:pt idx="56">
                  <c:v>3.4801648447893685E-2</c:v>
                </c:pt>
                <c:pt idx="57">
                  <c:v>3.5675162457210474E-2</c:v>
                </c:pt>
                <c:pt idx="58">
                  <c:v>3.6549413831727051E-2</c:v>
                </c:pt>
                <c:pt idx="59">
                  <c:v>3.742443882644908E-2</c:v>
                </c:pt>
                <c:pt idx="60">
                  <c:v>3.8300220323253864E-2</c:v>
                </c:pt>
                <c:pt idx="61">
                  <c:v>3.9176651912602001E-2</c:v>
                </c:pt>
                <c:pt idx="62">
                  <c:v>4.0053885814901546E-2</c:v>
                </c:pt>
                <c:pt idx="63">
                  <c:v>4.0931806615559063E-2</c:v>
                </c:pt>
                <c:pt idx="64">
                  <c:v>4.1810522153542085E-2</c:v>
                </c:pt>
                <c:pt idx="65">
                  <c:v>4.2690015283606941E-2</c:v>
                </c:pt>
                <c:pt idx="66">
                  <c:v>4.3570125426173778E-2</c:v>
                </c:pt>
                <c:pt idx="67">
                  <c:v>4.4451005354465334E-2</c:v>
                </c:pt>
                <c:pt idx="68">
                  <c:v>4.5332682691808568E-2</c:v>
                </c:pt>
                <c:pt idx="69">
                  <c:v>4.6214951578843477E-2</c:v>
                </c:pt>
                <c:pt idx="70">
                  <c:v>4.7098171905432418E-2</c:v>
                </c:pt>
                <c:pt idx="71">
                  <c:v>4.7982065861014389E-2</c:v>
                </c:pt>
                <c:pt idx="72">
                  <c:v>4.8866678924706308E-2</c:v>
                </c:pt>
              </c:numCache>
            </c:numRef>
          </c:xVal>
          <c:yVal>
            <c:numRef>
              <c:f>'vf=0'!$F$2:$F$74</c:f>
              <c:numCache>
                <c:formatCode>General</c:formatCode>
                <c:ptCount val="73"/>
                <c:pt idx="0">
                  <c:v>2.7420572933392693</c:v>
                </c:pt>
                <c:pt idx="1">
                  <c:v>65.657308216272668</c:v>
                </c:pt>
                <c:pt idx="2">
                  <c:v>91.65140208064399</c:v>
                </c:pt>
                <c:pt idx="3">
                  <c:v>111.49442905000815</c:v>
                </c:pt>
                <c:pt idx="4">
                  <c:v>130.06618864924599</c:v>
                </c:pt>
                <c:pt idx="5">
                  <c:v>147.11180408044268</c:v>
                </c:pt>
                <c:pt idx="6">
                  <c:v>166.16487625757347</c:v>
                </c:pt>
                <c:pt idx="7">
                  <c:v>181.80115858034461</c:v>
                </c:pt>
                <c:pt idx="8">
                  <c:v>199.9511016425617</c:v>
                </c:pt>
                <c:pt idx="9">
                  <c:v>220.61896483792376</c:v>
                </c:pt>
                <c:pt idx="10">
                  <c:v>236.0617780613463</c:v>
                </c:pt>
                <c:pt idx="11">
                  <c:v>257.65599578794718</c:v>
                </c:pt>
                <c:pt idx="12">
                  <c:v>274.76979899728502</c:v>
                </c:pt>
                <c:pt idx="13">
                  <c:v>293.20696418497607</c:v>
                </c:pt>
                <c:pt idx="14">
                  <c:v>307.9284535957969</c:v>
                </c:pt>
                <c:pt idx="15">
                  <c:v>325.3636184845962</c:v>
                </c:pt>
                <c:pt idx="16">
                  <c:v>340.50438354993753</c:v>
                </c:pt>
                <c:pt idx="17">
                  <c:v>358.89531809330856</c:v>
                </c:pt>
                <c:pt idx="18">
                  <c:v>378.4633616621374</c:v>
                </c:pt>
                <c:pt idx="19">
                  <c:v>394.0172781925267</c:v>
                </c:pt>
                <c:pt idx="20">
                  <c:v>410.6849138705611</c:v>
                </c:pt>
                <c:pt idx="21">
                  <c:v>426.85476932915532</c:v>
                </c:pt>
                <c:pt idx="22">
                  <c:v>444.13083095241507</c:v>
                </c:pt>
                <c:pt idx="23">
                  <c:v>461.80782785630879</c:v>
                </c:pt>
                <c:pt idx="24">
                  <c:v>477.25409739849658</c:v>
                </c:pt>
                <c:pt idx="25">
                  <c:v>484.8845904741068</c:v>
                </c:pt>
                <c:pt idx="26">
                  <c:v>486.72301198960804</c:v>
                </c:pt>
                <c:pt idx="27">
                  <c:v>487.2748813121882</c:v>
                </c:pt>
                <c:pt idx="28">
                  <c:v>488.33828265010447</c:v>
                </c:pt>
                <c:pt idx="29">
                  <c:v>489.59168449312676</c:v>
                </c:pt>
                <c:pt idx="30">
                  <c:v>490.07470795636948</c:v>
                </c:pt>
                <c:pt idx="31">
                  <c:v>491.32383688078198</c:v>
                </c:pt>
                <c:pt idx="32">
                  <c:v>491.93165877010017</c:v>
                </c:pt>
                <c:pt idx="33">
                  <c:v>492.66576820548636</c:v>
                </c:pt>
                <c:pt idx="34">
                  <c:v>493.84473073354172</c:v>
                </c:pt>
                <c:pt idx="35">
                  <c:v>495.21252434143634</c:v>
                </c:pt>
                <c:pt idx="36">
                  <c:v>496.19564032016046</c:v>
                </c:pt>
                <c:pt idx="37">
                  <c:v>496.79504909907615</c:v>
                </c:pt>
                <c:pt idx="38">
                  <c:v>497.83803046729281</c:v>
                </c:pt>
                <c:pt idx="39">
                  <c:v>498.815390070744</c:v>
                </c:pt>
                <c:pt idx="40">
                  <c:v>499.53692593662333</c:v>
                </c:pt>
                <c:pt idx="41">
                  <c:v>501.01770945975562</c:v>
                </c:pt>
                <c:pt idx="42">
                  <c:v>501.8621577964517</c:v>
                </c:pt>
                <c:pt idx="43">
                  <c:v>503.14788801391398</c:v>
                </c:pt>
                <c:pt idx="44">
                  <c:v>503.86192033398413</c:v>
                </c:pt>
                <c:pt idx="45">
                  <c:v>504.57439016949149</c:v>
                </c:pt>
                <c:pt idx="46">
                  <c:v>505.85351136816183</c:v>
                </c:pt>
                <c:pt idx="47">
                  <c:v>506.31005777533204</c:v>
                </c:pt>
                <c:pt idx="48">
                  <c:v>507.52181204650958</c:v>
                </c:pt>
                <c:pt idx="49">
                  <c:v>508.16438698563985</c:v>
                </c:pt>
                <c:pt idx="50">
                  <c:v>508.6796731868393</c:v>
                </c:pt>
                <c:pt idx="51">
                  <c:v>509.5080725115929</c:v>
                </c:pt>
                <c:pt idx="52">
                  <c:v>510.96286967935094</c:v>
                </c:pt>
                <c:pt idx="53">
                  <c:v>511.15959536087888</c:v>
                </c:pt>
                <c:pt idx="54">
                  <c:v>511.92001385551953</c:v>
                </c:pt>
                <c:pt idx="55">
                  <c:v>512.92941340850791</c:v>
                </c:pt>
                <c:pt idx="56">
                  <c:v>513.62372577282281</c:v>
                </c:pt>
                <c:pt idx="57">
                  <c:v>514.00374592942887</c:v>
                </c:pt>
                <c:pt idx="58">
                  <c:v>514.38275967521179</c:v>
                </c:pt>
                <c:pt idx="59">
                  <c:v>515.01055132839758</c:v>
                </c:pt>
                <c:pt idx="60">
                  <c:v>515.7617040847291</c:v>
                </c:pt>
                <c:pt idx="61">
                  <c:v>515.88781920622341</c:v>
                </c:pt>
                <c:pt idx="62">
                  <c:v>516.44936951994714</c:v>
                </c:pt>
                <c:pt idx="63">
                  <c:v>516.63619386227003</c:v>
                </c:pt>
                <c:pt idx="64">
                  <c:v>517.19543242555937</c:v>
                </c:pt>
                <c:pt idx="65">
                  <c:v>518.00188136654799</c:v>
                </c:pt>
                <c:pt idx="66">
                  <c:v>517.93751110380686</c:v>
                </c:pt>
                <c:pt idx="67">
                  <c:v>518.05895766420565</c:v>
                </c:pt>
                <c:pt idx="68">
                  <c:v>518.55167039804792</c:v>
                </c:pt>
                <c:pt idx="69">
                  <c:v>517.99052699911329</c:v>
                </c:pt>
                <c:pt idx="70">
                  <c:v>518.85294243879616</c:v>
                </c:pt>
                <c:pt idx="71">
                  <c:v>519.21900211696277</c:v>
                </c:pt>
                <c:pt idx="72">
                  <c:v>519.39878200296846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02-4A3A-95E3-CCA4DFDDF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145919"/>
        <c:axId val="572146399"/>
      </c:scatterChart>
      <c:valAx>
        <c:axId val="57214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Deformação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72146399"/>
        <c:crosses val="autoZero"/>
        <c:crossBetween val="midCat"/>
      </c:valAx>
      <c:valAx>
        <c:axId val="5721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Tensão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7214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228668650927095"/>
          <c:y val="0.64959812075288126"/>
          <c:w val="0.7328081680845292"/>
          <c:h val="9.881895330123617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Exp. Eng.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'vf=0'!$E$2:$E$74</c:f>
              <c:numCache>
                <c:formatCode>General</c:formatCode>
                <c:ptCount val="73"/>
                <c:pt idx="0">
                  <c:v>2.2223139891641708E-5</c:v>
                </c:pt>
                <c:pt idx="1">
                  <c:v>5.6121656324314984E-4</c:v>
                </c:pt>
                <c:pt idx="2">
                  <c:v>8.7624391000740154E-4</c:v>
                </c:pt>
                <c:pt idx="3">
                  <c:v>1.1366251922506621E-3</c:v>
                </c:pt>
                <c:pt idx="4">
                  <c:v>1.4078789155484994E-3</c:v>
                </c:pt>
                <c:pt idx="5">
                  <c:v>1.6405915270969462E-3</c:v>
                </c:pt>
                <c:pt idx="6">
                  <c:v>1.873626340568757E-3</c:v>
                </c:pt>
                <c:pt idx="7">
                  <c:v>2.07551801588024E-3</c:v>
                </c:pt>
                <c:pt idx="8">
                  <c:v>2.3580437289820733E-3</c:v>
                </c:pt>
                <c:pt idx="9">
                  <c:v>2.5953751364480304E-3</c:v>
                </c:pt>
                <c:pt idx="10">
                  <c:v>2.8418907462577359E-3</c:v>
                </c:pt>
                <c:pt idx="11">
                  <c:v>3.1545343440357865E-3</c:v>
                </c:pt>
                <c:pt idx="12">
                  <c:v>3.4261505201680365E-3</c:v>
                </c:pt>
                <c:pt idx="13">
                  <c:v>3.6595270159409665E-3</c:v>
                </c:pt>
                <c:pt idx="14">
                  <c:v>3.8924626070231394E-3</c:v>
                </c:pt>
                <c:pt idx="15">
                  <c:v>4.1258158292161173E-3</c:v>
                </c:pt>
                <c:pt idx="16">
                  <c:v>4.3589176134197771E-3</c:v>
                </c:pt>
                <c:pt idx="17">
                  <c:v>4.6310364955117755E-3</c:v>
                </c:pt>
                <c:pt idx="18">
                  <c:v>4.9419273035213873E-3</c:v>
                </c:pt>
                <c:pt idx="19">
                  <c:v>5.2138269938875048E-3</c:v>
                </c:pt>
                <c:pt idx="20">
                  <c:v>5.4859506237669997E-3</c:v>
                </c:pt>
                <c:pt idx="21">
                  <c:v>5.7966547311123495E-3</c:v>
                </c:pt>
                <c:pt idx="22">
                  <c:v>6.1461904458337546E-3</c:v>
                </c:pt>
                <c:pt idx="23">
                  <c:v>6.5731061970644156E-3</c:v>
                </c:pt>
                <c:pt idx="24">
                  <c:v>7.231648863078588E-3</c:v>
                </c:pt>
                <c:pt idx="25">
                  <c:v>8.0828595180495455E-3</c:v>
                </c:pt>
                <c:pt idx="26">
                  <c:v>8.9340098150707536E-3</c:v>
                </c:pt>
                <c:pt idx="27">
                  <c:v>9.7857053438874519E-3</c:v>
                </c:pt>
                <c:pt idx="28">
                  <c:v>1.0638189259836839E-2</c:v>
                </c:pt>
                <c:pt idx="29">
                  <c:v>1.1491418918358365E-2</c:v>
                </c:pt>
                <c:pt idx="30">
                  <c:v>1.2345264601123063E-2</c:v>
                </c:pt>
                <c:pt idx="31">
                  <c:v>1.3199935455243672E-2</c:v>
                </c:pt>
                <c:pt idx="32">
                  <c:v>1.4055240789089263E-2</c:v>
                </c:pt>
                <c:pt idx="33">
                  <c:v>1.4911285569229049E-2</c:v>
                </c:pt>
                <c:pt idx="34">
                  <c:v>1.5768114060222382E-2</c:v>
                </c:pt>
                <c:pt idx="35">
                  <c:v>1.6625692108564349E-2</c:v>
                </c:pt>
                <c:pt idx="36">
                  <c:v>1.7483941759022459E-2</c:v>
                </c:pt>
                <c:pt idx="37">
                  <c:v>1.8342863490099948E-2</c:v>
                </c:pt>
                <c:pt idx="38">
                  <c:v>1.9202571552368042E-2</c:v>
                </c:pt>
                <c:pt idx="39">
                  <c:v>2.0062996640550113E-2</c:v>
                </c:pt>
                <c:pt idx="40">
                  <c:v>2.0924113045814652E-2</c:v>
                </c:pt>
                <c:pt idx="41">
                  <c:v>2.1786061674309298E-2</c:v>
                </c:pt>
                <c:pt idx="42">
                  <c:v>2.2648650218511479E-2</c:v>
                </c:pt>
                <c:pt idx="43">
                  <c:v>2.3512028477972846E-2</c:v>
                </c:pt>
                <c:pt idx="44">
                  <c:v>2.4376056485664988E-2</c:v>
                </c:pt>
                <c:pt idx="45">
                  <c:v>2.5240813888202762E-2</c:v>
                </c:pt>
                <c:pt idx="46">
                  <c:v>2.6106380599931756E-2</c:v>
                </c:pt>
                <c:pt idx="47">
                  <c:v>2.6972563433266483E-2</c:v>
                </c:pt>
                <c:pt idx="48">
                  <c:v>2.7839583360794729E-2</c:v>
                </c:pt>
                <c:pt idx="49">
                  <c:v>2.8707255768886331E-2</c:v>
                </c:pt>
                <c:pt idx="50">
                  <c:v>2.9575642959402737E-2</c:v>
                </c:pt>
                <c:pt idx="51">
                  <c:v>3.0444807443356314E-2</c:v>
                </c:pt>
                <c:pt idx="52">
                  <c:v>3.131479422999961E-2</c:v>
                </c:pt>
                <c:pt idx="53">
                  <c:v>3.2185338268370112E-2</c:v>
                </c:pt>
                <c:pt idx="54">
                  <c:v>3.3056696978168043E-2</c:v>
                </c:pt>
                <c:pt idx="55">
                  <c:v>3.3928826791233213E-2</c:v>
                </c:pt>
                <c:pt idx="56">
                  <c:v>3.4801648447893685E-2</c:v>
                </c:pt>
                <c:pt idx="57">
                  <c:v>3.5675162457210474E-2</c:v>
                </c:pt>
                <c:pt idx="58">
                  <c:v>3.6549413831727051E-2</c:v>
                </c:pt>
                <c:pt idx="59">
                  <c:v>3.742443882644908E-2</c:v>
                </c:pt>
                <c:pt idx="60">
                  <c:v>3.8300220323253864E-2</c:v>
                </c:pt>
                <c:pt idx="61">
                  <c:v>3.9176651912602001E-2</c:v>
                </c:pt>
                <c:pt idx="62">
                  <c:v>4.0053885814901546E-2</c:v>
                </c:pt>
                <c:pt idx="63">
                  <c:v>4.0931806615559063E-2</c:v>
                </c:pt>
                <c:pt idx="64">
                  <c:v>4.1810522153542085E-2</c:v>
                </c:pt>
                <c:pt idx="65">
                  <c:v>4.2690015283606941E-2</c:v>
                </c:pt>
                <c:pt idx="66">
                  <c:v>4.3570125426173778E-2</c:v>
                </c:pt>
                <c:pt idx="67">
                  <c:v>4.4451005354465334E-2</c:v>
                </c:pt>
                <c:pt idx="68">
                  <c:v>4.5332682691808568E-2</c:v>
                </c:pt>
                <c:pt idx="69">
                  <c:v>4.6214951578843477E-2</c:v>
                </c:pt>
                <c:pt idx="70">
                  <c:v>4.7098171905432418E-2</c:v>
                </c:pt>
                <c:pt idx="71">
                  <c:v>4.7982065861014389E-2</c:v>
                </c:pt>
                <c:pt idx="72">
                  <c:v>4.8866678924706308E-2</c:v>
                </c:pt>
              </c:numCache>
            </c:numRef>
          </c:xVal>
          <c:yVal>
            <c:numRef>
              <c:f>'vf=0'!$F$2:$F$74</c:f>
              <c:numCache>
                <c:formatCode>General</c:formatCode>
                <c:ptCount val="73"/>
                <c:pt idx="0">
                  <c:v>2.7420572933392693</c:v>
                </c:pt>
                <c:pt idx="1">
                  <c:v>65.657308216272668</c:v>
                </c:pt>
                <c:pt idx="2">
                  <c:v>91.65140208064399</c:v>
                </c:pt>
                <c:pt idx="3">
                  <c:v>111.49442905000815</c:v>
                </c:pt>
                <c:pt idx="4">
                  <c:v>130.06618864924599</c:v>
                </c:pt>
                <c:pt idx="5">
                  <c:v>147.11180408044268</c:v>
                </c:pt>
                <c:pt idx="6">
                  <c:v>166.16487625757347</c:v>
                </c:pt>
                <c:pt idx="7">
                  <c:v>181.80115858034461</c:v>
                </c:pt>
                <c:pt idx="8">
                  <c:v>199.9511016425617</c:v>
                </c:pt>
                <c:pt idx="9">
                  <c:v>220.61896483792376</c:v>
                </c:pt>
                <c:pt idx="10">
                  <c:v>236.0617780613463</c:v>
                </c:pt>
                <c:pt idx="11">
                  <c:v>257.65599578794718</c:v>
                </c:pt>
                <c:pt idx="12">
                  <c:v>274.76979899728502</c:v>
                </c:pt>
                <c:pt idx="13">
                  <c:v>293.20696418497607</c:v>
                </c:pt>
                <c:pt idx="14">
                  <c:v>307.9284535957969</c:v>
                </c:pt>
                <c:pt idx="15">
                  <c:v>325.3636184845962</c:v>
                </c:pt>
                <c:pt idx="16">
                  <c:v>340.50438354993753</c:v>
                </c:pt>
                <c:pt idx="17">
                  <c:v>358.89531809330856</c:v>
                </c:pt>
                <c:pt idx="18">
                  <c:v>378.4633616621374</c:v>
                </c:pt>
                <c:pt idx="19">
                  <c:v>394.0172781925267</c:v>
                </c:pt>
                <c:pt idx="20">
                  <c:v>410.6849138705611</c:v>
                </c:pt>
                <c:pt idx="21">
                  <c:v>426.85476932915532</c:v>
                </c:pt>
                <c:pt idx="22">
                  <c:v>444.13083095241507</c:v>
                </c:pt>
                <c:pt idx="23">
                  <c:v>461.80782785630879</c:v>
                </c:pt>
                <c:pt idx="24">
                  <c:v>477.25409739849658</c:v>
                </c:pt>
                <c:pt idx="25">
                  <c:v>484.8845904741068</c:v>
                </c:pt>
                <c:pt idx="26">
                  <c:v>486.72301198960804</c:v>
                </c:pt>
                <c:pt idx="27">
                  <c:v>487.2748813121882</c:v>
                </c:pt>
                <c:pt idx="28">
                  <c:v>488.33828265010447</c:v>
                </c:pt>
                <c:pt idx="29">
                  <c:v>489.59168449312676</c:v>
                </c:pt>
                <c:pt idx="30">
                  <c:v>490.07470795636948</c:v>
                </c:pt>
                <c:pt idx="31">
                  <c:v>491.32383688078198</c:v>
                </c:pt>
                <c:pt idx="32">
                  <c:v>491.93165877010017</c:v>
                </c:pt>
                <c:pt idx="33">
                  <c:v>492.66576820548636</c:v>
                </c:pt>
                <c:pt idx="34">
                  <c:v>493.84473073354172</c:v>
                </c:pt>
                <c:pt idx="35">
                  <c:v>495.21252434143634</c:v>
                </c:pt>
                <c:pt idx="36">
                  <c:v>496.19564032016046</c:v>
                </c:pt>
                <c:pt idx="37">
                  <c:v>496.79504909907615</c:v>
                </c:pt>
                <c:pt idx="38">
                  <c:v>497.83803046729281</c:v>
                </c:pt>
                <c:pt idx="39">
                  <c:v>498.815390070744</c:v>
                </c:pt>
                <c:pt idx="40">
                  <c:v>499.53692593662333</c:v>
                </c:pt>
                <c:pt idx="41">
                  <c:v>501.01770945975562</c:v>
                </c:pt>
                <c:pt idx="42">
                  <c:v>501.8621577964517</c:v>
                </c:pt>
                <c:pt idx="43">
                  <c:v>503.14788801391398</c:v>
                </c:pt>
                <c:pt idx="44">
                  <c:v>503.86192033398413</c:v>
                </c:pt>
                <c:pt idx="45">
                  <c:v>504.57439016949149</c:v>
                </c:pt>
                <c:pt idx="46">
                  <c:v>505.85351136816183</c:v>
                </c:pt>
                <c:pt idx="47">
                  <c:v>506.31005777533204</c:v>
                </c:pt>
                <c:pt idx="48">
                  <c:v>507.52181204650958</c:v>
                </c:pt>
                <c:pt idx="49">
                  <c:v>508.16438698563985</c:v>
                </c:pt>
                <c:pt idx="50">
                  <c:v>508.6796731868393</c:v>
                </c:pt>
                <c:pt idx="51">
                  <c:v>509.5080725115929</c:v>
                </c:pt>
                <c:pt idx="52">
                  <c:v>510.96286967935094</c:v>
                </c:pt>
                <c:pt idx="53">
                  <c:v>511.15959536087888</c:v>
                </c:pt>
                <c:pt idx="54">
                  <c:v>511.92001385551953</c:v>
                </c:pt>
                <c:pt idx="55">
                  <c:v>512.92941340850791</c:v>
                </c:pt>
                <c:pt idx="56">
                  <c:v>513.62372577282281</c:v>
                </c:pt>
                <c:pt idx="57">
                  <c:v>514.00374592942887</c:v>
                </c:pt>
                <c:pt idx="58">
                  <c:v>514.38275967521179</c:v>
                </c:pt>
                <c:pt idx="59">
                  <c:v>515.01055132839758</c:v>
                </c:pt>
                <c:pt idx="60">
                  <c:v>515.7617040847291</c:v>
                </c:pt>
                <c:pt idx="61">
                  <c:v>515.88781920622341</c:v>
                </c:pt>
                <c:pt idx="62">
                  <c:v>516.44936951994714</c:v>
                </c:pt>
                <c:pt idx="63">
                  <c:v>516.63619386227003</c:v>
                </c:pt>
                <c:pt idx="64">
                  <c:v>517.19543242555937</c:v>
                </c:pt>
                <c:pt idx="65">
                  <c:v>518.00188136654799</c:v>
                </c:pt>
                <c:pt idx="66">
                  <c:v>517.93751110380686</c:v>
                </c:pt>
                <c:pt idx="67">
                  <c:v>518.05895766420565</c:v>
                </c:pt>
                <c:pt idx="68">
                  <c:v>518.55167039804792</c:v>
                </c:pt>
                <c:pt idx="69">
                  <c:v>517.99052699911329</c:v>
                </c:pt>
                <c:pt idx="70">
                  <c:v>518.85294243879616</c:v>
                </c:pt>
                <c:pt idx="71">
                  <c:v>519.21900211696277</c:v>
                </c:pt>
                <c:pt idx="72">
                  <c:v>519.39878200296846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02-4A3A-95E3-CCA4DFDDF247}"/>
            </c:ext>
          </c:extLst>
        </c:ser>
        <c:ser>
          <c:idx val="0"/>
          <c:order val="1"/>
          <c:tx>
            <c:v>Exp. True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'vf=0'!$C$2:$C$74</c:f>
              <c:numCache>
                <c:formatCode>General</c:formatCode>
                <c:ptCount val="73"/>
                <c:pt idx="0">
                  <c:v>2.22228929612367E-5</c:v>
                </c:pt>
                <c:pt idx="1">
                  <c:v>5.6105914012401995E-4</c:v>
                </c:pt>
                <c:pt idx="2">
                  <c:v>8.7586023242619505E-4</c:v>
                </c:pt>
                <c:pt idx="3">
                  <c:v>1.1359797228951199E-3</c:v>
                </c:pt>
                <c:pt idx="4">
                  <c:v>1.4068887832432899E-3</c:v>
                </c:pt>
                <c:pt idx="5">
                  <c:v>1.63924722691498E-3</c:v>
                </c:pt>
                <c:pt idx="6">
                  <c:v>1.8718732921003899E-3</c:v>
                </c:pt>
                <c:pt idx="7">
                  <c:v>2.07336710401987E-3</c:v>
                </c:pt>
                <c:pt idx="8">
                  <c:v>2.3552679066852701E-3</c:v>
                </c:pt>
                <c:pt idx="9">
                  <c:v>2.5920129665369298E-3</c:v>
                </c:pt>
                <c:pt idx="10">
                  <c:v>2.8378602091758999E-3</c:v>
                </c:pt>
                <c:pt idx="11">
                  <c:v>3.1495692395600099E-3</c:v>
                </c:pt>
                <c:pt idx="12">
                  <c:v>3.42029463808504E-3</c:v>
                </c:pt>
                <c:pt idx="13">
                  <c:v>3.6528472385411901E-3</c:v>
                </c:pt>
                <c:pt idx="14">
                  <c:v>3.8849065758152098E-3</c:v>
                </c:pt>
                <c:pt idx="15">
                  <c:v>4.1173279892548296E-3</c:v>
                </c:pt>
                <c:pt idx="16">
                  <c:v>4.3494450488161199E-3</c:v>
                </c:pt>
                <c:pt idx="17">
                  <c:v>4.6203462379432901E-3</c:v>
                </c:pt>
                <c:pt idx="18">
                  <c:v>4.92975606390165E-3</c:v>
                </c:pt>
                <c:pt idx="19">
                  <c:v>5.2002820581615603E-3</c:v>
                </c:pt>
                <c:pt idx="20">
                  <c:v>5.4709576056203102E-3</c:v>
                </c:pt>
                <c:pt idx="21">
                  <c:v>5.7799187719821399E-3</c:v>
                </c:pt>
                <c:pt idx="22">
                  <c:v>6.1273796544580299E-3</c:v>
                </c:pt>
                <c:pt idx="23">
                  <c:v>6.5515975355555003E-3</c:v>
                </c:pt>
                <c:pt idx="24">
                  <c:v>7.2056258745331302E-3</c:v>
                </c:pt>
                <c:pt idx="25">
                  <c:v>8.0503681736126004E-3</c:v>
                </c:pt>
                <c:pt idx="26">
                  <c:v>8.8943376619037996E-3</c:v>
                </c:pt>
                <c:pt idx="27">
                  <c:v>9.7381354144642704E-3</c:v>
                </c:pt>
                <c:pt idx="28">
                  <c:v>1.0582001861316999E-2</c:v>
                </c:pt>
                <c:pt idx="29">
                  <c:v>1.14258940685294E-2</c:v>
                </c:pt>
                <c:pt idx="30">
                  <c:v>1.2269683234303301E-2</c:v>
                </c:pt>
                <c:pt idx="31">
                  <c:v>1.31135754415157E-2</c:v>
                </c:pt>
                <c:pt idx="32">
                  <c:v>1.39573817808627E-2</c:v>
                </c:pt>
                <c:pt idx="33">
                  <c:v>1.48012052937828E-2</c:v>
                </c:pt>
                <c:pt idx="34">
                  <c:v>1.5645088914208599E-2</c:v>
                </c:pt>
                <c:pt idx="35">
                  <c:v>1.64889982949941E-2</c:v>
                </c:pt>
                <c:pt idx="36">
                  <c:v>1.7332856155060299E-2</c:v>
                </c:pt>
                <c:pt idx="37">
                  <c:v>1.81766624944073E-2</c:v>
                </c:pt>
                <c:pt idx="38">
                  <c:v>1.9020528941260099E-2</c:v>
                </c:pt>
                <c:pt idx="39">
                  <c:v>1.9864386801326302E-2</c:v>
                </c:pt>
                <c:pt idx="40">
                  <c:v>2.0708210314246401E-2</c:v>
                </c:pt>
                <c:pt idx="41">
                  <c:v>2.1552136868604899E-2</c:v>
                </c:pt>
                <c:pt idx="42">
                  <c:v>2.23959775550981E-2</c:v>
                </c:pt>
                <c:pt idx="43">
                  <c:v>2.3239878349097E-2</c:v>
                </c:pt>
                <c:pt idx="44">
                  <c:v>2.4083701862016998E-2</c:v>
                </c:pt>
                <c:pt idx="45">
                  <c:v>2.4927525374937101E-2</c:v>
                </c:pt>
                <c:pt idx="46">
                  <c:v>2.5771426168936001E-2</c:v>
                </c:pt>
                <c:pt idx="47">
                  <c:v>2.661521533471E-2</c:v>
                </c:pt>
                <c:pt idx="48">
                  <c:v>2.7459107541922399E-2</c:v>
                </c:pt>
                <c:pt idx="49">
                  <c:v>2.8302922468055901E-2</c:v>
                </c:pt>
                <c:pt idx="50">
                  <c:v>2.9146720220616401E-2</c:v>
                </c:pt>
                <c:pt idx="51">
                  <c:v>2.9990560907109502E-2</c:v>
                </c:pt>
                <c:pt idx="52">
                  <c:v>3.0834487461468101E-2</c:v>
                </c:pt>
                <c:pt idx="53">
                  <c:v>3.1678242280095803E-2</c:v>
                </c:pt>
                <c:pt idx="54">
                  <c:v>3.25220743798025E-2</c:v>
                </c:pt>
                <c:pt idx="55">
                  <c:v>3.3365940826655199E-2</c:v>
                </c:pt>
                <c:pt idx="56">
                  <c:v>3.4209764339575302E-2</c:v>
                </c:pt>
                <c:pt idx="57">
                  <c:v>3.5053544918562697E-2</c:v>
                </c:pt>
                <c:pt idx="58">
                  <c:v>3.5897325497550099E-2</c:v>
                </c:pt>
                <c:pt idx="59">
                  <c:v>3.6741140423683698E-2</c:v>
                </c:pt>
                <c:pt idx="60">
                  <c:v>3.7584972523390298E-2</c:v>
                </c:pt>
                <c:pt idx="61">
                  <c:v>3.8428718755231503E-2</c:v>
                </c:pt>
                <c:pt idx="62">
                  <c:v>3.9272525094578598E-2</c:v>
                </c:pt>
                <c:pt idx="63">
                  <c:v>4.01162799132063E-2</c:v>
                </c:pt>
                <c:pt idx="64">
                  <c:v>4.0960086252553402E-2</c:v>
                </c:pt>
                <c:pt idx="65">
                  <c:v>4.1803926939046498E-2</c:v>
                </c:pt>
                <c:pt idx="66">
                  <c:v>4.2647647410528199E-2</c:v>
                </c:pt>
                <c:pt idx="67">
                  <c:v>4.3491393642369397E-2</c:v>
                </c:pt>
                <c:pt idx="68">
                  <c:v>4.4335191394929897E-2</c:v>
                </c:pt>
                <c:pt idx="69">
                  <c:v>4.5178843172119301E-2</c:v>
                </c:pt>
                <c:pt idx="70">
                  <c:v>4.6022692445398902E-2</c:v>
                </c:pt>
                <c:pt idx="71">
                  <c:v>4.6866473024386297E-2</c:v>
                </c:pt>
                <c:pt idx="72">
                  <c:v>4.7710227843014097E-2</c:v>
                </c:pt>
              </c:numCache>
            </c:numRef>
          </c:xVal>
          <c:yVal>
            <c:numRef>
              <c:f>'vf=0'!$D$2:$D$74</c:f>
              <c:numCache>
                <c:formatCode>General</c:formatCode>
                <c:ptCount val="73"/>
                <c:pt idx="0">
                  <c:v>2.7421182304620899</c:v>
                </c:pt>
                <c:pt idx="1">
                  <c:v>65.694156185141594</c:v>
                </c:pt>
                <c:pt idx="2">
                  <c:v>91.731711063560795</c:v>
                </c:pt>
                <c:pt idx="3">
                  <c:v>111.621156426862</c:v>
                </c:pt>
                <c:pt idx="4">
                  <c:v>130.24930609387101</c:v>
                </c:pt>
                <c:pt idx="5">
                  <c:v>147.353154459753</c:v>
                </c:pt>
                <c:pt idx="6">
                  <c:v>166.47620714660701</c:v>
                </c:pt>
                <c:pt idx="7">
                  <c:v>182.178490160286</c:v>
                </c:pt>
                <c:pt idx="8">
                  <c:v>200.42259508389299</c:v>
                </c:pt>
                <c:pt idx="9">
                  <c:v>221.19155381389299</c:v>
                </c:pt>
                <c:pt idx="10">
                  <c:v>236.73263984396399</c:v>
                </c:pt>
                <c:pt idx="11">
                  <c:v>258.46878047560699</c:v>
                </c:pt>
                <c:pt idx="12">
                  <c:v>275.71120168704601</c:v>
                </c:pt>
                <c:pt idx="13">
                  <c:v>294.27996299167302</c:v>
                </c:pt>
                <c:pt idx="14">
                  <c:v>309.12705358705699</c:v>
                </c:pt>
                <c:pt idx="15">
                  <c:v>326.70600885199099</c:v>
                </c:pt>
                <c:pt idx="16">
                  <c:v>341.98861410484</c:v>
                </c:pt>
                <c:pt idx="17">
                  <c:v>360.557375409467</c:v>
                </c:pt>
                <c:pt idx="18">
                  <c:v>380.33370008251802</c:v>
                </c:pt>
                <c:pt idx="19">
                  <c:v>396.071616113625</c:v>
                </c:pt>
                <c:pt idx="20">
                  <c:v>412.93791102998102</c:v>
                </c:pt>
                <c:pt idx="21">
                  <c:v>429.32909904728501</c:v>
                </c:pt>
                <c:pt idx="22">
                  <c:v>446.86054362231499</c:v>
                </c:pt>
                <c:pt idx="23">
                  <c:v>464.84333975144398</c:v>
                </c:pt>
                <c:pt idx="24">
                  <c:v>480.705431449348</c:v>
                </c:pt>
                <c:pt idx="25">
                  <c:v>488.80384450137598</c:v>
                </c:pt>
                <c:pt idx="26">
                  <c:v>491.07140015594399</c:v>
                </c:pt>
                <c:pt idx="27">
                  <c:v>492.04320972218699</c:v>
                </c:pt>
                <c:pt idx="28">
                  <c:v>493.53331772375998</c:v>
                </c:pt>
                <c:pt idx="29">
                  <c:v>495.21778763858202</c:v>
                </c:pt>
                <c:pt idx="30">
                  <c:v>496.12480990040899</c:v>
                </c:pt>
                <c:pt idx="31">
                  <c:v>497.80927981523098</c:v>
                </c:pt>
                <c:pt idx="32">
                  <c:v>498.84587668589</c:v>
                </c:pt>
                <c:pt idx="33">
                  <c:v>500.012048165382</c:v>
                </c:pt>
                <c:pt idx="34">
                  <c:v>501.63173077578801</c:v>
                </c:pt>
                <c:pt idx="35">
                  <c:v>503.445775299442</c:v>
                </c:pt>
                <c:pt idx="36">
                  <c:v>504.87109599659902</c:v>
                </c:pt>
                <c:pt idx="37">
                  <c:v>505.90769286725799</c:v>
                </c:pt>
                <c:pt idx="38">
                  <c:v>507.39780086883098</c:v>
                </c:pt>
                <c:pt idx="39">
                  <c:v>508.823121565988</c:v>
                </c:pt>
                <c:pt idx="40">
                  <c:v>509.98929304548</c:v>
                </c:pt>
                <c:pt idx="41">
                  <c:v>511.93291217796701</c:v>
                </c:pt>
                <c:pt idx="42">
                  <c:v>513.22865826629095</c:v>
                </c:pt>
                <c:pt idx="43">
                  <c:v>514.97791548552902</c:v>
                </c:pt>
                <c:pt idx="44">
                  <c:v>516.14408696502096</c:v>
                </c:pt>
                <c:pt idx="45">
                  <c:v>517.31025844451301</c:v>
                </c:pt>
                <c:pt idx="46">
                  <c:v>519.05951566375097</c:v>
                </c:pt>
                <c:pt idx="47">
                  <c:v>519.966537925578</c:v>
                </c:pt>
                <c:pt idx="48">
                  <c:v>521.65100784039998</c:v>
                </c:pt>
                <c:pt idx="49">
                  <c:v>522.75239201547595</c:v>
                </c:pt>
                <c:pt idx="50">
                  <c:v>523.72420158171894</c:v>
                </c:pt>
                <c:pt idx="51">
                  <c:v>525.01994767004396</c:v>
                </c:pt>
                <c:pt idx="52">
                  <c:v>526.96356680252995</c:v>
                </c:pt>
                <c:pt idx="53">
                  <c:v>527.61143984669195</c:v>
                </c:pt>
                <c:pt idx="54">
                  <c:v>528.842398630601</c:v>
                </c:pt>
                <c:pt idx="55">
                  <c:v>530.33250663217405</c:v>
                </c:pt>
                <c:pt idx="56">
                  <c:v>531.49867811166598</c:v>
                </c:pt>
                <c:pt idx="57">
                  <c:v>532.34091306907601</c:v>
                </c:pt>
                <c:pt idx="58">
                  <c:v>533.18314802648695</c:v>
                </c:pt>
                <c:pt idx="59">
                  <c:v>534.28453220156302</c:v>
                </c:pt>
                <c:pt idx="60">
                  <c:v>535.51549098547105</c:v>
                </c:pt>
                <c:pt idx="61">
                  <c:v>536.09857672521696</c:v>
                </c:pt>
                <c:pt idx="62">
                  <c:v>537.13517359587695</c:v>
                </c:pt>
                <c:pt idx="63">
                  <c:v>537.78304664003895</c:v>
                </c:pt>
                <c:pt idx="64">
                  <c:v>538.81964351069905</c:v>
                </c:pt>
                <c:pt idx="65">
                  <c:v>540.11538959902305</c:v>
                </c:pt>
                <c:pt idx="66">
                  <c:v>540.50411342552002</c:v>
                </c:pt>
                <c:pt idx="67">
                  <c:v>541.08719916526604</c:v>
                </c:pt>
                <c:pt idx="68">
                  <c:v>542.05900873150995</c:v>
                </c:pt>
                <c:pt idx="69">
                  <c:v>541.92943412267698</c:v>
                </c:pt>
                <c:pt idx="70">
                  <c:v>543.28996751541797</c:v>
                </c:pt>
                <c:pt idx="71">
                  <c:v>544.13220247282902</c:v>
                </c:pt>
                <c:pt idx="72">
                  <c:v>544.78007551699102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B-46DE-BB80-BB0638272389}"/>
            </c:ext>
          </c:extLst>
        </c:ser>
        <c:ser>
          <c:idx val="1"/>
          <c:order val="2"/>
          <c:tx>
            <c:v>Brick 8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'vf=0'!$S$2:$S$21</c:f>
              <c:numCache>
                <c:formatCode>0.00E+00</c:formatCode>
                <c:ptCount val="20"/>
                <c:pt idx="0" formatCode="General">
                  <c:v>0</c:v>
                </c:pt>
                <c:pt idx="1">
                  <c:v>3.5211299999999998E-4</c:v>
                </c:pt>
                <c:pt idx="2" formatCode="General">
                  <c:v>7.0422499999999995E-4</c:v>
                </c:pt>
                <c:pt idx="3">
                  <c:v>1.05634E-3</c:v>
                </c:pt>
                <c:pt idx="4">
                  <c:v>1.4084499999999999E-3</c:v>
                </c:pt>
                <c:pt idx="5">
                  <c:v>1.76056E-3</c:v>
                </c:pt>
                <c:pt idx="6">
                  <c:v>2.11268E-3</c:v>
                </c:pt>
                <c:pt idx="7">
                  <c:v>2.4647900000000001E-3</c:v>
                </c:pt>
                <c:pt idx="8">
                  <c:v>2.8168999999999998E-3</c:v>
                </c:pt>
                <c:pt idx="9">
                  <c:v>3.1690099999999999E-3</c:v>
                </c:pt>
                <c:pt idx="10">
                  <c:v>3.5211299999999999E-3</c:v>
                </c:pt>
                <c:pt idx="11">
                  <c:v>3.87324E-3</c:v>
                </c:pt>
                <c:pt idx="12">
                  <c:v>4.2253500000000001E-3</c:v>
                </c:pt>
                <c:pt idx="13">
                  <c:v>4.5774600000000002E-3</c:v>
                </c:pt>
                <c:pt idx="14">
                  <c:v>4.9295800000000002E-3</c:v>
                </c:pt>
                <c:pt idx="15">
                  <c:v>5.2816900000000003E-3</c:v>
                </c:pt>
                <c:pt idx="16">
                  <c:v>5.6337999999999996E-3</c:v>
                </c:pt>
                <c:pt idx="17">
                  <c:v>5.9859199999999996E-3</c:v>
                </c:pt>
                <c:pt idx="18">
                  <c:v>2.1955800000000001E-2</c:v>
                </c:pt>
                <c:pt idx="19">
                  <c:v>4.7646599999999997E-2</c:v>
                </c:pt>
              </c:numCache>
            </c:numRef>
          </c:xVal>
          <c:yVal>
            <c:numRef>
              <c:f>'vf=0'!$T$2:$T$21</c:f>
              <c:numCache>
                <c:formatCode>0.00E+00</c:formatCode>
                <c:ptCount val="20"/>
                <c:pt idx="0" formatCode="General">
                  <c:v>0</c:v>
                </c:pt>
                <c:pt idx="1">
                  <c:v>27.5</c:v>
                </c:pt>
                <c:pt idx="2">
                  <c:v>55</c:v>
                </c:pt>
                <c:pt idx="3">
                  <c:v>82.5</c:v>
                </c:pt>
                <c:pt idx="4">
                  <c:v>110</c:v>
                </c:pt>
                <c:pt idx="5">
                  <c:v>137.5</c:v>
                </c:pt>
                <c:pt idx="6">
                  <c:v>165</c:v>
                </c:pt>
                <c:pt idx="7">
                  <c:v>192.5</c:v>
                </c:pt>
                <c:pt idx="8">
                  <c:v>220</c:v>
                </c:pt>
                <c:pt idx="9">
                  <c:v>247.5</c:v>
                </c:pt>
                <c:pt idx="10">
                  <c:v>275</c:v>
                </c:pt>
                <c:pt idx="11">
                  <c:v>302.5</c:v>
                </c:pt>
                <c:pt idx="12">
                  <c:v>330</c:v>
                </c:pt>
                <c:pt idx="13">
                  <c:v>357.5</c:v>
                </c:pt>
                <c:pt idx="14">
                  <c:v>385</c:v>
                </c:pt>
                <c:pt idx="15">
                  <c:v>412.5</c:v>
                </c:pt>
                <c:pt idx="16">
                  <c:v>440</c:v>
                </c:pt>
                <c:pt idx="17">
                  <c:v>467.5</c:v>
                </c:pt>
                <c:pt idx="18">
                  <c:v>495</c:v>
                </c:pt>
                <c:pt idx="19">
                  <c:v>522.5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B-46DE-BB80-BB0638272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145919"/>
        <c:axId val="572146399"/>
      </c:scatterChart>
      <c:valAx>
        <c:axId val="57214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Deformação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72146399"/>
        <c:crosses val="autoZero"/>
        <c:crossBetween val="midCat"/>
      </c:valAx>
      <c:valAx>
        <c:axId val="5721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Tensão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7214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228668650927095"/>
          <c:y val="0.64959812075288126"/>
          <c:w val="0.69093583963299809"/>
          <c:h val="9.76662813284063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'vf=10'!$D$1:$D$74</c:f>
              <c:strCache>
                <c:ptCount val="73"/>
                <c:pt idx="0">
                  <c:v>True_Stress2</c:v>
                </c:pt>
                <c:pt idx="1">
                  <c:v>35.49992476</c:v>
                </c:pt>
                <c:pt idx="2">
                  <c:v>18.33641729</c:v>
                </c:pt>
                <c:pt idx="3">
                  <c:v>51.73789103</c:v>
                </c:pt>
                <c:pt idx="4">
                  <c:v>100.4363482</c:v>
                </c:pt>
                <c:pt idx="5">
                  <c:v>73.53342002</c:v>
                </c:pt>
                <c:pt idx="6">
                  <c:v>124.7657806</c:v>
                </c:pt>
                <c:pt idx="7">
                  <c:v>147.3531545</c:v>
                </c:pt>
                <c:pt idx="8">
                  <c:v>166.4762071</c:v>
                </c:pt>
                <c:pt idx="9">
                  <c:v>182.6940351</c:v>
                </c:pt>
                <c:pt idx="10">
                  <c:v>203.0215377</c:v>
                </c:pt>
                <c:pt idx="11">
                  <c:v>219.9494886</c:v>
                </c:pt>
                <c:pt idx="12">
                  <c:v>237.6234653</c:v>
                </c:pt>
                <c:pt idx="13">
                  <c:v>256.1526343</c:v>
                </c:pt>
                <c:pt idx="14">
                  <c:v>277.5324448</c:v>
                </c:pt>
                <c:pt idx="15">
                  <c:v>297.2493811</c:v>
                </c:pt>
                <c:pt idx="16">
                  <c:v>312.8982146</c:v>
                </c:pt>
                <c:pt idx="17">
                  <c:v>330.7444175</c:v>
                </c:pt>
                <c:pt idx="18">
                  <c:v>350.4613538</c:v>
                </c:pt>
                <c:pt idx="19">
                  <c:v>369.4656298</c:v>
                </c:pt>
                <c:pt idx="20">
                  <c:v>386.9258083</c:v>
                </c:pt>
                <c:pt idx="21">
                  <c:v>403.6733265</c:v>
                </c:pt>
                <c:pt idx="22">
                  <c:v>419.5894076</c:v>
                </c:pt>
                <c:pt idx="23">
                  <c:v>437.8810232</c:v>
                </c:pt>
                <c:pt idx="24">
                  <c:v>457.6573479</c:v>
                </c:pt>
                <c:pt idx="25">
                  <c:v>474.226701</c:v>
                </c:pt>
                <c:pt idx="26">
                  <c:v>490.1902928</c:v>
                </c:pt>
                <c:pt idx="27">
                  <c:v>504.871096</c:v>
                </c:pt>
                <c:pt idx="28">
                  <c:v>519.5778141</c:v>
                </c:pt>
                <c:pt idx="29">
                  <c:v>529.4902717</c:v>
                </c:pt>
                <c:pt idx="30">
                  <c:v>535.2563418</c:v>
                </c:pt>
                <c:pt idx="31">
                  <c:v>539.4675166</c:v>
                </c:pt>
                <c:pt idx="32">
                  <c:v>543.0956056</c:v>
                </c:pt>
                <c:pt idx="33">
                  <c:v>546.1406089</c:v>
                </c:pt>
                <c:pt idx="34">
                  <c:v>548.1490153</c:v>
                </c:pt>
                <c:pt idx="35">
                  <c:v>550.9348694</c:v>
                </c:pt>
                <c:pt idx="36">
                  <c:v>553.4615743</c:v>
                </c:pt>
                <c:pt idx="37">
                  <c:v>555.2108315</c:v>
                </c:pt>
                <c:pt idx="38">
                  <c:v>557.1544507</c:v>
                </c:pt>
                <c:pt idx="39">
                  <c:v>559.1628571</c:v>
                </c:pt>
                <c:pt idx="40">
                  <c:v>560.7825397</c:v>
                </c:pt>
                <c:pt idx="41">
                  <c:v>562.4670096</c:v>
                </c:pt>
                <c:pt idx="42">
                  <c:v>564.1514795</c:v>
                </c:pt>
                <c:pt idx="43">
                  <c:v>565.8359495</c:v>
                </c:pt>
                <c:pt idx="44">
                  <c:v>567.5204194</c:v>
                </c:pt>
                <c:pt idx="45">
                  <c:v>568.9457401</c:v>
                </c:pt>
                <c:pt idx="46">
                  <c:v>570.3062735</c:v>
                </c:pt>
                <c:pt idx="47">
                  <c:v>571.6020195</c:v>
                </c:pt>
                <c:pt idx="48">
                  <c:v>573.4160641</c:v>
                </c:pt>
                <c:pt idx="49">
                  <c:v>574.3878736</c:v>
                </c:pt>
                <c:pt idx="50">
                  <c:v>575.4892578</c:v>
                </c:pt>
                <c:pt idx="51">
                  <c:v>576.8497912</c:v>
                </c:pt>
                <c:pt idx="52">
                  <c:v>578.08075</c:v>
                </c:pt>
                <c:pt idx="53">
                  <c:v>579.2469215</c:v>
                </c:pt>
                <c:pt idx="54">
                  <c:v>580.2835183</c:v>
                </c:pt>
                <c:pt idx="55">
                  <c:v>581.4496898</c:v>
                </c:pt>
                <c:pt idx="56">
                  <c:v>582.4214994</c:v>
                </c:pt>
                <c:pt idx="57">
                  <c:v>583.5876709</c:v>
                </c:pt>
                <c:pt idx="58">
                  <c:v>584.689055</c:v>
                </c:pt>
                <c:pt idx="59">
                  <c:v>585.53129</c:v>
                </c:pt>
                <c:pt idx="60">
                  <c:v>586.1143757</c:v>
                </c:pt>
                <c:pt idx="61">
                  <c:v>587.4749091</c:v>
                </c:pt>
                <c:pt idx="62">
                  <c:v>588.1227822</c:v>
                </c:pt>
                <c:pt idx="63">
                  <c:v>589.4185283</c:v>
                </c:pt>
                <c:pt idx="64">
                  <c:v>589.8720394</c:v>
                </c:pt>
                <c:pt idx="65">
                  <c:v>590.3903378</c:v>
                </c:pt>
                <c:pt idx="66">
                  <c:v>591.2973601</c:v>
                </c:pt>
                <c:pt idx="67">
                  <c:v>591.8156585</c:v>
                </c:pt>
                <c:pt idx="68">
                  <c:v>592.5283189</c:v>
                </c:pt>
                <c:pt idx="69">
                  <c:v>593.824065</c:v>
                </c:pt>
                <c:pt idx="70">
                  <c:v>594.471938</c:v>
                </c:pt>
                <c:pt idx="71">
                  <c:v>594.9254491</c:v>
                </c:pt>
                <c:pt idx="72">
                  <c:v>595.3789603</c:v>
                </c:pt>
              </c:strCache>
            </c:strRef>
          </c:xVal>
          <c:yVal>
            <c:numRef>
              <c:f>'vf=10'!$E$1:$E$74</c:f>
              <c:numCache>
                <c:formatCode>General</c:formatCode>
                <c:ptCount val="7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B-4A8F-BFC9-5A4D9E3EB75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'vf=10'!$A$2:$A$73</c:f>
              <c:numCache>
                <c:formatCode>General</c:formatCode>
                <c:ptCount val="72"/>
                <c:pt idx="0">
                  <c:v>2.786E-4</c:v>
                </c:pt>
                <c:pt idx="1">
                  <c:v>1.8010000000000001E-3</c:v>
                </c:pt>
                <c:pt idx="2">
                  <c:v>2.588E-3</c:v>
                </c:pt>
                <c:pt idx="3">
                  <c:v>3.078E-3</c:v>
                </c:pt>
                <c:pt idx="4">
                  <c:v>3.8159999999999999E-3</c:v>
                </c:pt>
                <c:pt idx="5">
                  <c:v>4.6519999999999999E-3</c:v>
                </c:pt>
                <c:pt idx="6">
                  <c:v>5.7869999999999996E-3</c:v>
                </c:pt>
                <c:pt idx="7">
                  <c:v>7.8650000000000005E-3</c:v>
                </c:pt>
                <c:pt idx="8">
                  <c:v>1.074E-2</c:v>
                </c:pt>
                <c:pt idx="9">
                  <c:v>1.357E-2</c:v>
                </c:pt>
                <c:pt idx="10">
                  <c:v>1.644E-2</c:v>
                </c:pt>
                <c:pt idx="11">
                  <c:v>1.932E-2</c:v>
                </c:pt>
                <c:pt idx="12">
                  <c:v>2.214E-2</c:v>
                </c:pt>
                <c:pt idx="13">
                  <c:v>2.5069999999999999E-2</c:v>
                </c:pt>
                <c:pt idx="14">
                  <c:v>2.794E-2</c:v>
                </c:pt>
                <c:pt idx="15">
                  <c:v>3.0769999999999999E-2</c:v>
                </c:pt>
                <c:pt idx="16">
                  <c:v>3.3689999999999998E-2</c:v>
                </c:pt>
                <c:pt idx="17">
                  <c:v>3.6470000000000002E-2</c:v>
                </c:pt>
                <c:pt idx="18">
                  <c:v>3.9449999999999999E-2</c:v>
                </c:pt>
                <c:pt idx="19">
                  <c:v>4.2220000000000001E-2</c:v>
                </c:pt>
                <c:pt idx="20">
                  <c:v>4.4310000000000002E-2</c:v>
                </c:pt>
              </c:numCache>
            </c:numRef>
          </c:xVal>
          <c:yVal>
            <c:numRef>
              <c:f>'vf=10'!$B$2:$B$73</c:f>
              <c:numCache>
                <c:formatCode>General</c:formatCode>
                <c:ptCount val="72"/>
                <c:pt idx="0">
                  <c:v>26.05</c:v>
                </c:pt>
                <c:pt idx="1">
                  <c:v>175.1</c:v>
                </c:pt>
                <c:pt idx="2">
                  <c:v>237.7</c:v>
                </c:pt>
                <c:pt idx="3">
                  <c:v>296.8</c:v>
                </c:pt>
                <c:pt idx="4">
                  <c:v>358.2</c:v>
                </c:pt>
                <c:pt idx="5">
                  <c:v>426.5</c:v>
                </c:pt>
                <c:pt idx="6">
                  <c:v>485.7</c:v>
                </c:pt>
                <c:pt idx="7">
                  <c:v>527.79999999999995</c:v>
                </c:pt>
                <c:pt idx="8">
                  <c:v>543.70000000000005</c:v>
                </c:pt>
                <c:pt idx="9">
                  <c:v>552.79999999999995</c:v>
                </c:pt>
                <c:pt idx="10">
                  <c:v>560.79999999999995</c:v>
                </c:pt>
                <c:pt idx="11">
                  <c:v>565.29999999999995</c:v>
                </c:pt>
                <c:pt idx="12">
                  <c:v>571</c:v>
                </c:pt>
                <c:pt idx="13">
                  <c:v>574.4</c:v>
                </c:pt>
                <c:pt idx="14">
                  <c:v>579</c:v>
                </c:pt>
                <c:pt idx="15">
                  <c:v>582.4</c:v>
                </c:pt>
                <c:pt idx="16">
                  <c:v>584.6</c:v>
                </c:pt>
                <c:pt idx="17">
                  <c:v>588.1</c:v>
                </c:pt>
                <c:pt idx="18">
                  <c:v>591.5</c:v>
                </c:pt>
                <c:pt idx="19">
                  <c:v>592.6</c:v>
                </c:pt>
                <c:pt idx="20">
                  <c:v>592.6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7B-4A8F-BFC9-5A4D9E3EB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942383"/>
        <c:axId val="1093940463"/>
      </c:scatterChart>
      <c:valAx>
        <c:axId val="109394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3940463"/>
        <c:crosses val="autoZero"/>
        <c:crossBetween val="midCat"/>
      </c:valAx>
      <c:valAx>
        <c:axId val="109394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3942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'vf=20'!$D$2:$D$58</c:f>
              <c:numCache>
                <c:formatCode>General</c:formatCode>
                <c:ptCount val="57"/>
                <c:pt idx="0">
                  <c:v>48.653938207525201</c:v>
                </c:pt>
                <c:pt idx="1">
                  <c:v>30.353329499137399</c:v>
                </c:pt>
                <c:pt idx="2">
                  <c:v>13.966892550823999</c:v>
                </c:pt>
                <c:pt idx="3">
                  <c:v>98.836821618197405</c:v>
                </c:pt>
                <c:pt idx="4">
                  <c:v>75.136905803805902</c:v>
                </c:pt>
                <c:pt idx="5">
                  <c:v>124.078855242429</c:v>
                </c:pt>
                <c:pt idx="6">
                  <c:v>147.792628341376</c:v>
                </c:pt>
                <c:pt idx="7">
                  <c:v>175.47948288364799</c:v>
                </c:pt>
                <c:pt idx="8">
                  <c:v>158.518166587482</c:v>
                </c:pt>
                <c:pt idx="9">
                  <c:v>194.86384436498199</c:v>
                </c:pt>
                <c:pt idx="10">
                  <c:v>210.898702207996</c:v>
                </c:pt>
                <c:pt idx="11">
                  <c:v>226.220899702433</c:v>
                </c:pt>
                <c:pt idx="12">
                  <c:v>242.612087719736</c:v>
                </c:pt>
                <c:pt idx="13">
                  <c:v>265.17966542471999</c:v>
                </c:pt>
                <c:pt idx="14">
                  <c:v>283.59005776299603</c:v>
                </c:pt>
                <c:pt idx="15">
                  <c:v>299.26858543172199</c:v>
                </c:pt>
                <c:pt idx="16">
                  <c:v>314.23445275186901</c:v>
                </c:pt>
                <c:pt idx="17">
                  <c:v>329.91298042059401</c:v>
                </c:pt>
                <c:pt idx="18">
                  <c:v>347.91613827396799</c:v>
                </c:pt>
                <c:pt idx="19">
                  <c:v>366.85254182190903</c:v>
                </c:pt>
                <c:pt idx="20">
                  <c:v>384.43149708684399</c:v>
                </c:pt>
                <c:pt idx="21">
                  <c:v>402.48555925083099</c:v>
                </c:pt>
                <c:pt idx="22">
                  <c:v>419.35185416718701</c:v>
                </c:pt>
                <c:pt idx="23">
                  <c:v>435.26793528543902</c:v>
                </c:pt>
                <c:pt idx="24">
                  <c:v>454.09404616038597</c:v>
                </c:pt>
                <c:pt idx="25">
                  <c:v>470.18829236578199</c:v>
                </c:pt>
                <c:pt idx="26">
                  <c:v>486.520092020704</c:v>
                </c:pt>
                <c:pt idx="27">
                  <c:v>502.59058288114801</c:v>
                </c:pt>
                <c:pt idx="28">
                  <c:v>519.59940986721995</c:v>
                </c:pt>
                <c:pt idx="29">
                  <c:v>535.51549098547105</c:v>
                </c:pt>
                <c:pt idx="30">
                  <c:v>551.06444404536398</c:v>
                </c:pt>
                <c:pt idx="31">
                  <c:v>562.92052075353297</c:v>
                </c:pt>
                <c:pt idx="32">
                  <c:v>571.40765763205798</c:v>
                </c:pt>
                <c:pt idx="33">
                  <c:v>577.75681346484703</c:v>
                </c:pt>
                <c:pt idx="34">
                  <c:v>582.55107399164797</c:v>
                </c:pt>
                <c:pt idx="35">
                  <c:v>587.08618530078297</c:v>
                </c:pt>
                <c:pt idx="36">
                  <c:v>590.39033782600995</c:v>
                </c:pt>
                <c:pt idx="37">
                  <c:v>593.88885226448599</c:v>
                </c:pt>
                <c:pt idx="38">
                  <c:v>597.06343018088103</c:v>
                </c:pt>
                <c:pt idx="39">
                  <c:v>599.07183661778402</c:v>
                </c:pt>
                <c:pt idx="40">
                  <c:v>601.46896688118397</c:v>
                </c:pt>
                <c:pt idx="41">
                  <c:v>603.60694792691902</c:v>
                </c:pt>
                <c:pt idx="42">
                  <c:v>605.42099245057398</c:v>
                </c:pt>
                <c:pt idx="43">
                  <c:v>607.42939888747696</c:v>
                </c:pt>
                <c:pt idx="44">
                  <c:v>609.30823071554698</c:v>
                </c:pt>
                <c:pt idx="45">
                  <c:v>610.40961489062295</c:v>
                </c:pt>
                <c:pt idx="46">
                  <c:v>611.575786370115</c:v>
                </c:pt>
                <c:pt idx="47">
                  <c:v>613.00110706727196</c:v>
                </c:pt>
                <c:pt idx="48">
                  <c:v>614.03770393793104</c:v>
                </c:pt>
                <c:pt idx="49">
                  <c:v>614.94472619975795</c:v>
                </c:pt>
                <c:pt idx="50">
                  <c:v>615.85174846158498</c:v>
                </c:pt>
                <c:pt idx="51">
                  <c:v>616.49962150574697</c:v>
                </c:pt>
                <c:pt idx="52">
                  <c:v>617.47143107199099</c:v>
                </c:pt>
                <c:pt idx="53">
                  <c:v>617.86015489848796</c:v>
                </c:pt>
                <c:pt idx="54">
                  <c:v>618.50802794264996</c:v>
                </c:pt>
                <c:pt idx="55">
                  <c:v>619.09111368239599</c:v>
                </c:pt>
                <c:pt idx="56">
                  <c:v>619.60941211772604</c:v>
                </c:pt>
              </c:numCache>
            </c:numRef>
          </c:xVal>
          <c:yVal>
            <c:numRef>
              <c:f>'vf=20'!$E$2:$E$58</c:f>
              <c:numCache>
                <c:formatCode>General</c:formatCode>
                <c:ptCount val="5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C3-4F3A-B00F-F3ABAF365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'vf=20'!$A$2:$A$58</c:f>
              <c:numCache>
                <c:formatCode>General</c:formatCode>
                <c:ptCount val="57"/>
                <c:pt idx="0">
                  <c:v>2.2910000000000001E-4</c:v>
                </c:pt>
                <c:pt idx="1">
                  <c:v>1.407E-3</c:v>
                </c:pt>
                <c:pt idx="2">
                  <c:v>1.9449999999999999E-3</c:v>
                </c:pt>
                <c:pt idx="3">
                  <c:v>2.5339999999999998E-3</c:v>
                </c:pt>
                <c:pt idx="4">
                  <c:v>3.0240000000000002E-3</c:v>
                </c:pt>
                <c:pt idx="5">
                  <c:v>3.565E-3</c:v>
                </c:pt>
                <c:pt idx="6">
                  <c:v>4.3030000000000004E-3</c:v>
                </c:pt>
                <c:pt idx="7">
                  <c:v>5.4869999999999997E-3</c:v>
                </c:pt>
                <c:pt idx="8">
                  <c:v>7.515E-3</c:v>
                </c:pt>
                <c:pt idx="9">
                  <c:v>1.039E-2</c:v>
                </c:pt>
                <c:pt idx="10">
                  <c:v>1.3259999999999999E-2</c:v>
                </c:pt>
                <c:pt idx="11">
                  <c:v>1.6140000000000002E-2</c:v>
                </c:pt>
                <c:pt idx="12">
                  <c:v>1.8960000000000001E-2</c:v>
                </c:pt>
                <c:pt idx="13">
                  <c:v>2.1839999999999998E-2</c:v>
                </c:pt>
                <c:pt idx="14">
                  <c:v>2.4670000000000001E-2</c:v>
                </c:pt>
                <c:pt idx="15">
                  <c:v>2.7570000000000001E-2</c:v>
                </c:pt>
                <c:pt idx="16">
                  <c:v>2.938E-2</c:v>
                </c:pt>
              </c:numCache>
            </c:numRef>
          </c:xVal>
          <c:yVal>
            <c:numRef>
              <c:f>'vf=20'!$B$2:$B$58</c:f>
              <c:numCache>
                <c:formatCode>General</c:formatCode>
                <c:ptCount val="57"/>
                <c:pt idx="0">
                  <c:v>24.91</c:v>
                </c:pt>
                <c:pt idx="1">
                  <c:v>150.1</c:v>
                </c:pt>
                <c:pt idx="2">
                  <c:v>219.5</c:v>
                </c:pt>
                <c:pt idx="3">
                  <c:v>283.2</c:v>
                </c:pt>
                <c:pt idx="4">
                  <c:v>338.9</c:v>
                </c:pt>
                <c:pt idx="5">
                  <c:v>390.1</c:v>
                </c:pt>
                <c:pt idx="6">
                  <c:v>445.8</c:v>
                </c:pt>
                <c:pt idx="7">
                  <c:v>506.1</c:v>
                </c:pt>
                <c:pt idx="8">
                  <c:v>558.5</c:v>
                </c:pt>
                <c:pt idx="9">
                  <c:v>581.20000000000005</c:v>
                </c:pt>
                <c:pt idx="10">
                  <c:v>594.9</c:v>
                </c:pt>
                <c:pt idx="11">
                  <c:v>602.79999999999995</c:v>
                </c:pt>
                <c:pt idx="12">
                  <c:v>610.79999999999995</c:v>
                </c:pt>
                <c:pt idx="13">
                  <c:v>613.1</c:v>
                </c:pt>
                <c:pt idx="14">
                  <c:v>617.6</c:v>
                </c:pt>
                <c:pt idx="15">
                  <c:v>617.6</c:v>
                </c:pt>
                <c:pt idx="16">
                  <c:v>616.5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C3-4F3A-B00F-F3ABAF36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571551"/>
        <c:axId val="851559071"/>
      </c:scatterChart>
      <c:valAx>
        <c:axId val="85157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1559071"/>
        <c:crosses val="autoZero"/>
        <c:crossBetween val="midCat"/>
      </c:valAx>
      <c:valAx>
        <c:axId val="851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157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'vf=30'!$D$2:$D$51</c:f>
              <c:numCache>
                <c:formatCode>General</c:formatCode>
                <c:ptCount val="50"/>
                <c:pt idx="0">
                  <c:v>29.2283074557254</c:v>
                </c:pt>
                <c:pt idx="1">
                  <c:v>4.7450469308632801</c:v>
                </c:pt>
                <c:pt idx="2">
                  <c:v>52.209449706718701</c:v>
                </c:pt>
                <c:pt idx="3">
                  <c:v>75.931521764259102</c:v>
                </c:pt>
                <c:pt idx="4">
                  <c:v>99.440733608977695</c:v>
                </c:pt>
                <c:pt idx="5">
                  <c:v>121.361479334923</c:v>
                </c:pt>
                <c:pt idx="6">
                  <c:v>140.73391138888999</c:v>
                </c:pt>
                <c:pt idx="7">
                  <c:v>156.99918293694199</c:v>
                </c:pt>
                <c:pt idx="8">
                  <c:v>179.752053369631</c:v>
                </c:pt>
                <c:pt idx="9">
                  <c:v>193.466892940957</c:v>
                </c:pt>
                <c:pt idx="10">
                  <c:v>216.08989682990699</c:v>
                </c:pt>
                <c:pt idx="11">
                  <c:v>241.487064380839</c:v>
                </c:pt>
                <c:pt idx="12">
                  <c:v>259.71033101345898</c:v>
                </c:pt>
                <c:pt idx="13">
                  <c:v>277.87803295587298</c:v>
                </c:pt>
                <c:pt idx="14">
                  <c:v>300.88404325054103</c:v>
                </c:pt>
                <c:pt idx="15">
                  <c:v>313.92829608278498</c:v>
                </c:pt>
                <c:pt idx="16">
                  <c:v>330.29351325801701</c:v>
                </c:pt>
                <c:pt idx="17">
                  <c:v>346.65873043324899</c:v>
                </c:pt>
                <c:pt idx="18">
                  <c:v>365.63310099267301</c:v>
                </c:pt>
                <c:pt idx="19">
                  <c:v>384.84404791436702</c:v>
                </c:pt>
                <c:pt idx="20">
                  <c:v>401.80269323671399</c:v>
                </c:pt>
                <c:pt idx="21">
                  <c:v>416.745045538716</c:v>
                </c:pt>
                <c:pt idx="22">
                  <c:v>434.88941158875502</c:v>
                </c:pt>
                <c:pt idx="23">
                  <c:v>451.25576433052601</c:v>
                </c:pt>
                <c:pt idx="24">
                  <c:v>471.65356754645097</c:v>
                </c:pt>
                <c:pt idx="25">
                  <c:v>489.67992930699103</c:v>
                </c:pt>
                <c:pt idx="26">
                  <c:v>506.046849832031</c:v>
                </c:pt>
                <c:pt idx="27">
                  <c:v>526.11435459401002</c:v>
                </c:pt>
                <c:pt idx="28">
                  <c:v>543.76355685476699</c:v>
                </c:pt>
                <c:pt idx="29">
                  <c:v>560.64148232230798</c:v>
                </c:pt>
                <c:pt idx="30">
                  <c:v>577.21621152396494</c:v>
                </c:pt>
                <c:pt idx="31">
                  <c:v>592.555134631344</c:v>
                </c:pt>
                <c:pt idx="32">
                  <c:v>604.85600431390105</c:v>
                </c:pt>
                <c:pt idx="33">
                  <c:v>614.50517127816499</c:v>
                </c:pt>
                <c:pt idx="34">
                  <c:v>622.02004093258199</c:v>
                </c:pt>
                <c:pt idx="35">
                  <c:v>627.98269436165697</c:v>
                </c:pt>
                <c:pt idx="36">
                  <c:v>633.03988832594803</c:v>
                </c:pt>
                <c:pt idx="37">
                  <c:v>637.70902823390395</c:v>
                </c:pt>
                <c:pt idx="38">
                  <c:v>641.08465462074105</c:v>
                </c:pt>
                <c:pt idx="39">
                  <c:v>644.78365938785805</c:v>
                </c:pt>
                <c:pt idx="40">
                  <c:v>647.38317766202397</c:v>
                </c:pt>
                <c:pt idx="41">
                  <c:v>649.98269593618897</c:v>
                </c:pt>
                <c:pt idx="42">
                  <c:v>652.45286285824295</c:v>
                </c:pt>
                <c:pt idx="43">
                  <c:v>654.14692166762495</c:v>
                </c:pt>
                <c:pt idx="44">
                  <c:v>655.32357506855999</c:v>
                </c:pt>
                <c:pt idx="45">
                  <c:v>656.88828252583096</c:v>
                </c:pt>
                <c:pt idx="46">
                  <c:v>658.129611602821</c:v>
                </c:pt>
                <c:pt idx="47">
                  <c:v>658.78885959530896</c:v>
                </c:pt>
                <c:pt idx="48">
                  <c:v>660.15954002441094</c:v>
                </c:pt>
                <c:pt idx="49">
                  <c:v>660.13496475865804</c:v>
                </c:pt>
              </c:numCache>
            </c:numRef>
          </c:xVal>
          <c:yVal>
            <c:numRef>
              <c:f>'vf=30'!$E$2:$E$51</c:f>
              <c:numCache>
                <c:formatCode>General</c:formatCode>
                <c:ptCount val="5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AD-44BD-B214-4C2DAD55E5B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'vf=30'!$A$2:$A$51</c:f>
              <c:numCache>
                <c:formatCode>General</c:formatCode>
                <c:ptCount val="50"/>
                <c:pt idx="0">
                  <c:v>2.786E-4</c:v>
                </c:pt>
                <c:pt idx="1">
                  <c:v>8.1490000000000002E-4</c:v>
                </c:pt>
                <c:pt idx="2">
                  <c:v>1.206E-3</c:v>
                </c:pt>
                <c:pt idx="3">
                  <c:v>1.7459999999999999E-3</c:v>
                </c:pt>
                <c:pt idx="4">
                  <c:v>2.186E-3</c:v>
                </c:pt>
                <c:pt idx="5">
                  <c:v>2.676E-3</c:v>
                </c:pt>
                <c:pt idx="6">
                  <c:v>3.1670000000000001E-3</c:v>
                </c:pt>
                <c:pt idx="7">
                  <c:v>3.8059999999999999E-3</c:v>
                </c:pt>
                <c:pt idx="8">
                  <c:v>4.6430000000000004E-3</c:v>
                </c:pt>
                <c:pt idx="9">
                  <c:v>5.927E-3</c:v>
                </c:pt>
                <c:pt idx="10">
                  <c:v>8.3529999999999993E-3</c:v>
                </c:pt>
                <c:pt idx="11">
                  <c:v>1.1129999999999999E-2</c:v>
                </c:pt>
                <c:pt idx="12">
                  <c:v>1.4149999999999999E-2</c:v>
                </c:pt>
                <c:pt idx="13">
                  <c:v>1.6979999999999999E-2</c:v>
                </c:pt>
                <c:pt idx="14">
                  <c:v>1.9800000000000002E-2</c:v>
                </c:pt>
                <c:pt idx="15">
                  <c:v>2.273E-2</c:v>
                </c:pt>
                <c:pt idx="16">
                  <c:v>2.4459999999999999E-2</c:v>
                </c:pt>
              </c:numCache>
            </c:numRef>
          </c:xVal>
          <c:yVal>
            <c:numRef>
              <c:f>'vf=30'!$B$2:$B$51</c:f>
              <c:numCache>
                <c:formatCode>General</c:formatCode>
                <c:ptCount val="50"/>
                <c:pt idx="0">
                  <c:v>26.05</c:v>
                </c:pt>
                <c:pt idx="1">
                  <c:v>118.2</c:v>
                </c:pt>
                <c:pt idx="2">
                  <c:v>169.4</c:v>
                </c:pt>
                <c:pt idx="3">
                  <c:v>227.4</c:v>
                </c:pt>
                <c:pt idx="4">
                  <c:v>293.39999999999998</c:v>
                </c:pt>
                <c:pt idx="5">
                  <c:v>352.6</c:v>
                </c:pt>
                <c:pt idx="6">
                  <c:v>398.1</c:v>
                </c:pt>
                <c:pt idx="7">
                  <c:v>456.1</c:v>
                </c:pt>
                <c:pt idx="8">
                  <c:v>515.20000000000005</c:v>
                </c:pt>
                <c:pt idx="9">
                  <c:v>569.9</c:v>
                </c:pt>
                <c:pt idx="10">
                  <c:v>611.9</c:v>
                </c:pt>
                <c:pt idx="11">
                  <c:v>632.4</c:v>
                </c:pt>
                <c:pt idx="12">
                  <c:v>646.1</c:v>
                </c:pt>
                <c:pt idx="13">
                  <c:v>652.9</c:v>
                </c:pt>
                <c:pt idx="14">
                  <c:v>658.6</c:v>
                </c:pt>
                <c:pt idx="15">
                  <c:v>658.6</c:v>
                </c:pt>
                <c:pt idx="16">
                  <c:v>660.9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AD-44BD-B214-4C2DAD55E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574431"/>
        <c:axId val="851575871"/>
      </c:scatterChart>
      <c:valAx>
        <c:axId val="85157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1575871"/>
        <c:crosses val="autoZero"/>
        <c:crossBetween val="midCat"/>
      </c:valAx>
      <c:valAx>
        <c:axId val="85157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157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119564</xdr:colOff>
      <xdr:row>1</xdr:row>
      <xdr:rowOff>48703</xdr:rowOff>
    </xdr:from>
    <xdr:to>
      <xdr:col>13</xdr:col>
      <xdr:colOff>401786</xdr:colOff>
      <xdr:row>15</xdr:row>
      <xdr:rowOff>134151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9D621B-51F4-4A55-AB73-50EC26D16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724638</xdr:colOff>
      <xdr:row>14</xdr:row>
      <xdr:rowOff>106795</xdr:rowOff>
    </xdr:from>
    <xdr:to>
      <xdr:col>13</xdr:col>
      <xdr:colOff>242974</xdr:colOff>
      <xdr:row>29</xdr:row>
      <xdr:rowOff>3629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03E16D-18AB-5F84-EFE9-57EF62FCA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0</xdr:row>
      <xdr:rowOff>14287</xdr:rowOff>
    </xdr:from>
    <xdr:to>
      <xdr:col>12</xdr:col>
      <xdr:colOff>314325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E78F62-49C9-86F5-7921-014D27BB9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1</xdr:row>
      <xdr:rowOff>23812</xdr:rowOff>
    </xdr:from>
    <xdr:to>
      <xdr:col>12</xdr:col>
      <xdr:colOff>200025</xdr:colOff>
      <xdr:row>15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FEA09A-3996-F62F-62CF-704D2641C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119062</xdr:rowOff>
    </xdr:from>
    <xdr:to>
      <xdr:col>11</xdr:col>
      <xdr:colOff>28575</xdr:colOff>
      <xdr:row>17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0170E8-FE6A-BA2F-FB4F-B9603091A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E7D1E8-1051-4865-AEB7-C6D8D393BEDD}" name="Tabela4" displayName="Tabela4" ref="A1:F75" totalsRowShown="0">
  <autoFilter ref="A1:F75" xr:uid="{99E7D1E8-1051-4865-AEB7-C6D8D393BEDD}"/>
  <tableColumns count="6">
    <tableColumn id="1" xr3:uid="{C482B39B-3146-4B26-B47F-BBA14E9193DE}" name="True_Strain"/>
    <tableColumn id="2" xr3:uid="{10ED64CF-ED3B-4DB0-B8B7-FB6D6B444225}" name="True_Stress"/>
    <tableColumn id="3" xr3:uid="{EA5E1AFC-5C06-433C-8E38-CAF05756B2AC}" name="True_Strain2"/>
    <tableColumn id="4" xr3:uid="{9AA26816-31D6-4FCD-8CC8-EF3E66BCEF24}" name="True_Stress2"/>
    <tableColumn id="5" xr3:uid="{68CD54F5-096C-44A7-B256-1B632E018295}" name="Strain" dataDxfId="1">
      <calculatedColumnFormula>EXP(Tabela4[[#This Row],[True_Strain2]])-1</calculatedColumnFormula>
    </tableColumn>
    <tableColumn id="6" xr3:uid="{0742FEA8-BF16-40DD-AE66-C5A01AFE870B}" name="Stress" dataDxfId="0">
      <calculatedColumnFormula>Tabela4[[#This Row],[True_Stress2]]/EXP(Tabela4[[#This Row],[True_Strain2]])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9E49F8-2C49-43EA-B583-61145B2EC87C}" name="Tabela3" displayName="Tabela3" ref="A1:D73" totalsRowShown="0">
  <autoFilter ref="A1:D73" xr:uid="{979E49F8-2C49-43EA-B583-61145B2EC87C}"/>
  <tableColumns count="4">
    <tableColumn id="1" xr3:uid="{ECFAB94C-24BC-433B-A8DB-EE6318644C76}" name="True_Strain"/>
    <tableColumn id="2" xr3:uid="{51936519-C563-4283-A04C-F86431D87197}" name="True_Stress"/>
    <tableColumn id="3" xr3:uid="{FE84014F-BD75-42BD-AF16-171AAED4E1E7}" name="True_Strain2"/>
    <tableColumn id="4" xr3:uid="{140A4953-3DCA-4158-864B-B9DAD748909F}" name="True_Stress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1FD587-B933-4ADF-BE88-BE0BE1C0E550}" name="Tabela2" displayName="Tabela2" ref="A1:D58" totalsRowShown="0">
  <autoFilter ref="A1:D58" xr:uid="{891FD587-B933-4ADF-BE88-BE0BE1C0E550}"/>
  <tableColumns count="4">
    <tableColumn id="1" xr3:uid="{7A3A5248-13D9-491A-99B2-C86052DDCD17}" name="True_Strain"/>
    <tableColumn id="2" xr3:uid="{DFC38B6A-99AE-4F07-A92F-E4C12188AD0C}" name="True_Stress"/>
    <tableColumn id="3" xr3:uid="{DC20C764-210C-48CD-A1AD-19076B44A3BB}" name="True_Strain2"/>
    <tableColumn id="4" xr3:uid="{09C8E7AD-2ED1-430C-927A-EB00409B5AC1}" name="True_Stress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33C8F-2F6F-4E6C-93BA-16B1D785542E}" name="Tabela1" displayName="Tabela1" ref="A1:D51" totalsRowShown="0">
  <autoFilter ref="A1:D51" xr:uid="{FC433C8F-2F6F-4E6C-93BA-16B1D785542E}"/>
  <tableColumns count="4">
    <tableColumn id="1" xr3:uid="{8A2F264B-1BA0-4C96-8259-90A47D7FCB36}" name="True_Strain"/>
    <tableColumn id="2" xr3:uid="{16D5B14B-2071-4E13-BF52-4416F7D0EE4A}" name="True_Stress"/>
    <tableColumn id="3" xr3:uid="{B6F1DD1A-3548-4C18-B25F-2F9C7DB53B6D}" name="True_Strain2"/>
    <tableColumn id="4" xr3:uid="{86CD5EB7-6143-437D-A5BF-983FE4827C7D}" name="True_Stress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5EF9-A97A-4813-89E9-AD738138BE62}">
  <dimension ref="A1:AH74"/>
  <sheetViews>
    <sheetView tabSelected="1" zoomScale="84" zoomScaleNormal="67" workbookViewId="0">
      <selection activeCell="E2" sqref="E2:F74"/>
    </sheetView>
  </sheetViews>
  <sheetFormatPr defaultRowHeight="15"/>
  <cols>
    <col min="1" max="1" width="12.6640625" bestFit="1" customWidth="1"/>
    <col min="2" max="2" width="9.5546875" customWidth="1"/>
    <col min="3" max="3" width="12.21875" bestFit="1" customWidth="1"/>
    <col min="4" max="4" width="9" bestFit="1" customWidth="1"/>
    <col min="5" max="5" width="12.21875" bestFit="1" customWidth="1"/>
    <col min="13" max="16" width="9" bestFit="1" customWidth="1"/>
  </cols>
  <sheetData>
    <row r="1" spans="1:34" ht="15.75">
      <c r="A1" t="s">
        <v>0</v>
      </c>
      <c r="B1" t="s">
        <v>1</v>
      </c>
      <c r="C1" s="1" t="s">
        <v>2</v>
      </c>
      <c r="D1" s="2" t="s">
        <v>3</v>
      </c>
      <c r="E1" t="s">
        <v>17</v>
      </c>
      <c r="F1" s="1" t="s">
        <v>7</v>
      </c>
      <c r="G1" s="2"/>
      <c r="M1" t="s">
        <v>6</v>
      </c>
      <c r="N1" t="s">
        <v>9</v>
      </c>
      <c r="O1" t="s">
        <v>4</v>
      </c>
      <c r="P1" t="s">
        <v>8</v>
      </c>
      <c r="Q1" s="3"/>
      <c r="S1" t="s">
        <v>4</v>
      </c>
      <c r="T1" t="s">
        <v>18</v>
      </c>
      <c r="W1" s="3"/>
      <c r="Z1" s="3" t="s">
        <v>10</v>
      </c>
      <c r="AA1" t="s">
        <v>11</v>
      </c>
      <c r="AB1" t="s">
        <v>4</v>
      </c>
      <c r="AC1" t="s">
        <v>5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</row>
    <row r="2" spans="1:34">
      <c r="A2">
        <v>2.7849999999999999E-4</v>
      </c>
      <c r="B2">
        <v>27.19</v>
      </c>
      <c r="C2">
        <v>2.22228929612367E-5</v>
      </c>
      <c r="D2">
        <v>2.7421182304620899</v>
      </c>
      <c r="E2">
        <f>EXP(Tabela4[[#This Row],[True_Strain2]])-1</f>
        <v>2.2223139891641708E-5</v>
      </c>
      <c r="F2">
        <f>Tabela4[[#This Row],[True_Stress2]]/EXP(Tabela4[[#This Row],[True_Strain2]])</f>
        <v>2.7420572933392693</v>
      </c>
      <c r="M2">
        <v>0</v>
      </c>
      <c r="N2">
        <v>0</v>
      </c>
      <c r="O2">
        <v>0</v>
      </c>
      <c r="P2">
        <v>0</v>
      </c>
      <c r="Q2" s="3"/>
      <c r="S2">
        <v>0</v>
      </c>
      <c r="T2">
        <v>0</v>
      </c>
      <c r="W2" s="3"/>
      <c r="Z2" s="3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>
      <c r="A3">
        <v>1.6069999999999999E-3</v>
      </c>
      <c r="B3">
        <v>134.1</v>
      </c>
      <c r="C3">
        <v>5.6105914012401995E-4</v>
      </c>
      <c r="D3">
        <v>65.694156185141594</v>
      </c>
      <c r="E3">
        <f>EXP(Tabela4[[#This Row],[True_Strain2]])-1</f>
        <v>5.6121656324314984E-4</v>
      </c>
      <c r="F3">
        <f>Tabela4[[#This Row],[True_Stress2]]/EXP(Tabela4[[#This Row],[True_Strain2]])</f>
        <v>65.657308216272668</v>
      </c>
      <c r="M3">
        <v>3.4229200000000001E-4</v>
      </c>
      <c r="N3">
        <v>30</v>
      </c>
      <c r="O3">
        <v>2.5736200000000002E-4</v>
      </c>
      <c r="P3">
        <v>30</v>
      </c>
      <c r="Q3" s="3"/>
      <c r="S3" s="4">
        <v>3.5211299999999998E-4</v>
      </c>
      <c r="T3" s="4">
        <v>27.5</v>
      </c>
      <c r="U3" s="4"/>
      <c r="V3" s="4"/>
      <c r="W3" s="3"/>
      <c r="X3" s="4"/>
      <c r="Y3" s="4"/>
      <c r="Z3" s="3">
        <v>1</v>
      </c>
      <c r="AA3" s="4">
        <v>0.05</v>
      </c>
      <c r="AB3" s="4">
        <v>3.5211299999999998E-4</v>
      </c>
      <c r="AC3" s="4">
        <v>27.5</v>
      </c>
      <c r="AD3" s="4">
        <v>-4.93038065763132E-32</v>
      </c>
      <c r="AE3" s="4">
        <v>3.1086205249999999E-15</v>
      </c>
      <c r="AF3" s="4">
        <v>-1.8932021249999898E-15</v>
      </c>
      <c r="AG3" s="4">
        <v>5.9065452500000002E-16</v>
      </c>
      <c r="AH3" s="4">
        <v>3.3593499999999902E-16</v>
      </c>
    </row>
    <row r="4" spans="1:34">
      <c r="A4">
        <v>2.245E-3</v>
      </c>
      <c r="B4">
        <v>199</v>
      </c>
      <c r="C4">
        <v>8.7586023242619505E-4</v>
      </c>
      <c r="D4">
        <v>91.731711063560795</v>
      </c>
      <c r="E4">
        <f>EXP(Tabela4[[#This Row],[True_Strain2]])-1</f>
        <v>8.7624391000740154E-4</v>
      </c>
      <c r="F4">
        <f>Tabela4[[#This Row],[True_Stress2]]/EXP(Tabela4[[#This Row],[True_Strain2]])</f>
        <v>91.65140208064399</v>
      </c>
      <c r="M4">
        <v>6.8458400000000002E-4</v>
      </c>
      <c r="N4">
        <v>60</v>
      </c>
      <c r="O4">
        <v>5.1472499999999995E-4</v>
      </c>
      <c r="P4">
        <v>60</v>
      </c>
      <c r="Q4" s="3"/>
      <c r="S4">
        <v>7.0422499999999995E-4</v>
      </c>
      <c r="T4" s="4">
        <v>55</v>
      </c>
      <c r="U4" s="4"/>
      <c r="V4" s="4"/>
      <c r="W4" s="3"/>
      <c r="X4" s="4"/>
      <c r="Y4" s="4"/>
      <c r="Z4" s="3">
        <v>2</v>
      </c>
      <c r="AA4" s="4">
        <v>0.1</v>
      </c>
      <c r="AB4">
        <v>7.0422499999999995E-4</v>
      </c>
      <c r="AC4" s="4">
        <v>55</v>
      </c>
      <c r="AD4" s="4">
        <v>-8.8817924999999991E-16</v>
      </c>
      <c r="AE4" s="4">
        <v>3.9968087499999998E-15</v>
      </c>
      <c r="AF4" s="4">
        <v>1.7843979999999999E-15</v>
      </c>
      <c r="AG4" s="4">
        <v>1.7344650000000001E-15</v>
      </c>
      <c r="AH4" s="4">
        <v>1.392699375E-15</v>
      </c>
    </row>
    <row r="5" spans="1:34">
      <c r="A5">
        <v>2.983E-3</v>
      </c>
      <c r="B5">
        <v>257</v>
      </c>
      <c r="C5">
        <v>1.1359797228951199E-3</v>
      </c>
      <c r="D5">
        <v>111.621156426862</v>
      </c>
      <c r="E5">
        <f>EXP(Tabela4[[#This Row],[True_Strain2]])-1</f>
        <v>1.1366251922506621E-3</v>
      </c>
      <c r="F5">
        <f>Tabela4[[#This Row],[True_Stress2]]/EXP(Tabela4[[#This Row],[True_Strain2]])</f>
        <v>111.49442905000815</v>
      </c>
      <c r="M5">
        <v>1.02688E-3</v>
      </c>
      <c r="N5">
        <v>90</v>
      </c>
      <c r="O5">
        <v>7.7208699999999997E-4</v>
      </c>
      <c r="P5">
        <v>90</v>
      </c>
      <c r="Q5" s="3"/>
      <c r="S5" s="4">
        <v>1.05634E-3</v>
      </c>
      <c r="T5" s="4">
        <v>82.5</v>
      </c>
      <c r="U5" s="4"/>
      <c r="W5" s="3"/>
      <c r="X5" s="4"/>
      <c r="Y5" s="4"/>
      <c r="Z5" s="3">
        <v>3</v>
      </c>
      <c r="AA5" s="4">
        <v>0.15</v>
      </c>
      <c r="AB5" s="4">
        <v>1.05634E-3</v>
      </c>
      <c r="AC5" s="4">
        <v>82.5</v>
      </c>
      <c r="AD5" s="4">
        <v>-1.776355E-15</v>
      </c>
      <c r="AE5" s="4">
        <v>1.776355E-15</v>
      </c>
      <c r="AF5" s="4">
        <v>-1.5543520249999999E-15</v>
      </c>
      <c r="AG5" s="4">
        <v>1.67093012499999E-15</v>
      </c>
      <c r="AH5" s="4">
        <v>-2.5452450000000002E-16</v>
      </c>
    </row>
    <row r="6" spans="1:34">
      <c r="A6">
        <v>3.722E-3</v>
      </c>
      <c r="B6">
        <v>305.89999999999998</v>
      </c>
      <c r="C6">
        <v>1.4068887832432899E-3</v>
      </c>
      <c r="D6">
        <v>130.24930609387101</v>
      </c>
      <c r="E6">
        <f>EXP(Tabela4[[#This Row],[True_Strain2]])-1</f>
        <v>1.4078789155484994E-3</v>
      </c>
      <c r="F6">
        <f>Tabela4[[#This Row],[True_Stress2]]/EXP(Tabela4[[#This Row],[True_Strain2]])</f>
        <v>130.06618864924599</v>
      </c>
      <c r="M6">
        <v>1.3691700000000001E-3</v>
      </c>
      <c r="N6">
        <v>120</v>
      </c>
      <c r="O6">
        <v>1.0294499999999999E-3</v>
      </c>
      <c r="P6">
        <v>120</v>
      </c>
      <c r="Q6" s="3"/>
      <c r="S6" s="4">
        <v>1.4084499999999999E-3</v>
      </c>
      <c r="T6" s="4">
        <v>110</v>
      </c>
      <c r="U6" s="4"/>
      <c r="V6" s="4"/>
      <c r="W6" s="3"/>
      <c r="X6" s="4"/>
      <c r="Y6" s="4"/>
      <c r="Z6" s="3">
        <v>4</v>
      </c>
      <c r="AA6" s="4">
        <v>0.2</v>
      </c>
      <c r="AB6" s="4">
        <v>1.4084499999999999E-3</v>
      </c>
      <c r="AC6" s="4">
        <v>110</v>
      </c>
      <c r="AD6" s="4">
        <v>4.4406874999999898E-16</v>
      </c>
      <c r="AE6" s="4">
        <v>8.8817699999999903E-16</v>
      </c>
      <c r="AF6" s="4">
        <v>-1.20617874999999E-15</v>
      </c>
      <c r="AG6" s="4">
        <v>3.8859249999999898E-16</v>
      </c>
      <c r="AH6" s="4">
        <v>-6.4505000000000099E-17</v>
      </c>
    </row>
    <row r="7" spans="1:34">
      <c r="A7">
        <v>4.5589999999999997E-3</v>
      </c>
      <c r="B7">
        <v>363.4</v>
      </c>
      <c r="C7">
        <v>1.63924722691498E-3</v>
      </c>
      <c r="D7">
        <v>147.353154459753</v>
      </c>
      <c r="E7">
        <f>EXP(Tabela4[[#This Row],[True_Strain2]])-1</f>
        <v>1.6405915270969462E-3</v>
      </c>
      <c r="F7">
        <f>Tabela4[[#This Row],[True_Stress2]]/EXP(Tabela4[[#This Row],[True_Strain2]])</f>
        <v>147.11180408044268</v>
      </c>
      <c r="M7">
        <v>1.7114599999999999E-3</v>
      </c>
      <c r="N7">
        <v>150</v>
      </c>
      <c r="O7">
        <v>1.28681E-3</v>
      </c>
      <c r="P7">
        <v>150</v>
      </c>
      <c r="Q7" s="3"/>
      <c r="S7" s="4">
        <v>1.76056E-3</v>
      </c>
      <c r="T7" s="4">
        <v>137.5</v>
      </c>
      <c r="U7" s="4"/>
      <c r="V7" s="4"/>
      <c r="W7" s="3"/>
      <c r="X7" s="4"/>
      <c r="Y7" s="4"/>
      <c r="Z7" s="3">
        <v>5</v>
      </c>
      <c r="AA7" s="4">
        <v>0.25</v>
      </c>
      <c r="AB7" s="4">
        <v>1.76056E-3</v>
      </c>
      <c r="AC7" s="4">
        <v>137.5</v>
      </c>
      <c r="AD7" s="4">
        <v>0</v>
      </c>
      <c r="AE7" s="4">
        <v>-5.32907999999999E-15</v>
      </c>
      <c r="AF7" s="4">
        <v>2.4869639999999899E-15</v>
      </c>
      <c r="AG7" s="4">
        <v>2.2130112499999998E-15</v>
      </c>
      <c r="AH7" s="4">
        <v>6.2523999999999998E-16</v>
      </c>
    </row>
    <row r="8" spans="1:34">
      <c r="A8">
        <v>5.4209999999999996E-3</v>
      </c>
      <c r="B8">
        <v>419.1</v>
      </c>
      <c r="C8">
        <v>1.8718732921003899E-3</v>
      </c>
      <c r="D8">
        <v>166.47620714660701</v>
      </c>
      <c r="E8">
        <f>EXP(Tabela4[[#This Row],[True_Strain2]])-1</f>
        <v>1.873626340568757E-3</v>
      </c>
      <c r="F8">
        <f>Tabela4[[#This Row],[True_Stress2]]/EXP(Tabela4[[#This Row],[True_Strain2]])</f>
        <v>166.16487625757347</v>
      </c>
      <c r="M8">
        <v>2.05375E-3</v>
      </c>
      <c r="N8">
        <v>180</v>
      </c>
      <c r="O8">
        <v>1.5441700000000001E-3</v>
      </c>
      <c r="P8">
        <v>180</v>
      </c>
      <c r="Q8" s="3"/>
      <c r="S8" s="4">
        <v>2.11268E-3</v>
      </c>
      <c r="T8" s="4">
        <v>165</v>
      </c>
      <c r="U8" s="4"/>
      <c r="V8" s="4"/>
      <c r="W8" s="3"/>
      <c r="X8" s="4"/>
      <c r="Y8" s="4"/>
      <c r="Z8" s="3">
        <v>6</v>
      </c>
      <c r="AA8" s="4">
        <v>0.3</v>
      </c>
      <c r="AB8" s="4">
        <v>2.11268E-3</v>
      </c>
      <c r="AC8" s="4">
        <v>165</v>
      </c>
      <c r="AD8" s="4">
        <v>3.5527087499999901E-15</v>
      </c>
      <c r="AE8" s="4">
        <v>-3.5527087499999901E-15</v>
      </c>
      <c r="AF8" s="4">
        <v>-1.2932099999999899E-15</v>
      </c>
      <c r="AG8" s="4">
        <v>4.0568624999999998E-16</v>
      </c>
      <c r="AH8" s="4">
        <v>-2.6866999999999902E-15</v>
      </c>
    </row>
    <row r="9" spans="1:34">
      <c r="A9">
        <v>7.2740000000000001E-3</v>
      </c>
      <c r="B9">
        <v>484.5</v>
      </c>
      <c r="C9">
        <v>2.07336710401987E-3</v>
      </c>
      <c r="D9">
        <v>182.178490160286</v>
      </c>
      <c r="E9">
        <f>EXP(Tabela4[[#This Row],[True_Strain2]])-1</f>
        <v>2.07551801588024E-3</v>
      </c>
      <c r="F9">
        <f>Tabela4[[#This Row],[True_Stress2]]/EXP(Tabela4[[#This Row],[True_Strain2]])</f>
        <v>181.80115858034461</v>
      </c>
      <c r="M9">
        <v>2.3960399999999999E-3</v>
      </c>
      <c r="N9">
        <v>210</v>
      </c>
      <c r="O9">
        <v>1.8015399999999999E-3</v>
      </c>
      <c r="P9">
        <v>210</v>
      </c>
      <c r="Q9" s="3"/>
      <c r="S9" s="4">
        <v>2.4647900000000001E-3</v>
      </c>
      <c r="T9" s="4">
        <v>192.5</v>
      </c>
      <c r="U9" s="4"/>
      <c r="V9" s="4"/>
      <c r="W9" s="3"/>
      <c r="X9" s="4"/>
      <c r="Y9" s="4"/>
      <c r="Z9" s="3">
        <v>7</v>
      </c>
      <c r="AA9" s="4">
        <v>0.35</v>
      </c>
      <c r="AB9" s="4">
        <v>2.4647900000000001E-3</v>
      </c>
      <c r="AC9" s="4">
        <v>192.5</v>
      </c>
      <c r="AD9" s="4">
        <v>1.4210856249999999E-14</v>
      </c>
      <c r="AE9" s="4">
        <v>1.5987211249999999E-14</v>
      </c>
      <c r="AF9" s="4">
        <v>1.2186138749999899E-15</v>
      </c>
      <c r="AG9" s="4">
        <v>-9.3262499999999795E-17</v>
      </c>
      <c r="AH9" s="4">
        <v>2.1030399999999901E-15</v>
      </c>
    </row>
    <row r="10" spans="1:34">
      <c r="A10">
        <v>1.0149999999999999E-2</v>
      </c>
      <c r="B10">
        <v>492.5</v>
      </c>
      <c r="C10">
        <v>2.3552679066852701E-3</v>
      </c>
      <c r="D10">
        <v>200.42259508389299</v>
      </c>
      <c r="E10">
        <f>EXP(Tabela4[[#This Row],[True_Strain2]])-1</f>
        <v>2.3580437289820733E-3</v>
      </c>
      <c r="F10">
        <f>Tabela4[[#This Row],[True_Stress2]]/EXP(Tabela4[[#This Row],[True_Strain2]])</f>
        <v>199.9511016425617</v>
      </c>
      <c r="M10">
        <v>2.7383400000000001E-3</v>
      </c>
      <c r="N10">
        <v>240</v>
      </c>
      <c r="O10">
        <v>2.0588999999999998E-3</v>
      </c>
      <c r="P10">
        <v>240</v>
      </c>
      <c r="Q10" s="3"/>
      <c r="S10" s="4">
        <v>2.8168999999999998E-3</v>
      </c>
      <c r="T10" s="4">
        <v>220</v>
      </c>
      <c r="U10" s="4"/>
      <c r="V10" s="4"/>
      <c r="W10" s="3"/>
      <c r="X10" s="4"/>
      <c r="Y10" s="4"/>
      <c r="Z10" s="3">
        <v>8</v>
      </c>
      <c r="AA10" s="4">
        <v>0.4</v>
      </c>
      <c r="AB10" s="4">
        <v>2.8168999999999998E-3</v>
      </c>
      <c r="AC10" s="4">
        <v>220</v>
      </c>
      <c r="AD10" s="4">
        <v>-2.3092629999999999E-14</v>
      </c>
      <c r="AE10" s="4">
        <v>-2.131629E-14</v>
      </c>
      <c r="AF10" s="4">
        <v>-3.4817537499999999E-15</v>
      </c>
      <c r="AG10" s="4">
        <v>-2.8662271250000002E-15</v>
      </c>
      <c r="AH10" s="4">
        <v>-9.6058712500000002E-16</v>
      </c>
    </row>
    <row r="11" spans="1:34">
      <c r="A11">
        <v>1.303E-2</v>
      </c>
      <c r="B11">
        <v>495.9</v>
      </c>
      <c r="C11">
        <v>2.5920129665369298E-3</v>
      </c>
      <c r="D11">
        <v>221.19155381389299</v>
      </c>
      <c r="E11">
        <f>EXP(Tabela4[[#This Row],[True_Strain2]])-1</f>
        <v>2.5953751364480304E-3</v>
      </c>
      <c r="F11">
        <f>Tabela4[[#This Row],[True_Stress2]]/EXP(Tabela4[[#This Row],[True_Strain2]])</f>
        <v>220.61896483792376</v>
      </c>
      <c r="M11">
        <v>3.08063E-3</v>
      </c>
      <c r="N11">
        <v>270</v>
      </c>
      <c r="O11">
        <v>2.3162600000000001E-3</v>
      </c>
      <c r="P11">
        <v>270</v>
      </c>
      <c r="Q11" s="3"/>
      <c r="S11" s="4">
        <v>3.1690099999999999E-3</v>
      </c>
      <c r="T11" s="4">
        <v>247.5</v>
      </c>
      <c r="U11" s="4"/>
      <c r="W11" s="3"/>
      <c r="X11" s="4"/>
      <c r="Y11" s="4"/>
      <c r="Z11" s="3">
        <v>9</v>
      </c>
      <c r="AA11" s="4">
        <v>0.45</v>
      </c>
      <c r="AB11" s="4">
        <v>3.1690099999999999E-3</v>
      </c>
      <c r="AC11" s="4">
        <v>247.5</v>
      </c>
      <c r="AD11" s="4">
        <v>-1.243449E-14</v>
      </c>
      <c r="AE11" s="4">
        <v>1.421085E-14</v>
      </c>
      <c r="AF11" s="4">
        <v>2.1885299999999898E-15</v>
      </c>
      <c r="AG11" s="4">
        <v>-2.7418846249999999E-15</v>
      </c>
      <c r="AH11" s="4">
        <v>3.0154999999999999E-16</v>
      </c>
    </row>
    <row r="12" spans="1:34">
      <c r="A12">
        <v>1.5900000000000001E-2</v>
      </c>
      <c r="B12">
        <v>502.7</v>
      </c>
      <c r="C12">
        <v>2.8378602091758999E-3</v>
      </c>
      <c r="D12">
        <v>236.73263984396399</v>
      </c>
      <c r="E12">
        <f>EXP(Tabela4[[#This Row],[True_Strain2]])-1</f>
        <v>2.8418907462577359E-3</v>
      </c>
      <c r="F12">
        <f>Tabela4[[#This Row],[True_Stress2]]/EXP(Tabela4[[#This Row],[True_Strain2]])</f>
        <v>236.0617780613463</v>
      </c>
      <c r="M12">
        <v>3.4229199999999999E-3</v>
      </c>
      <c r="N12">
        <v>300</v>
      </c>
      <c r="O12">
        <v>2.57362E-3</v>
      </c>
      <c r="P12">
        <v>300</v>
      </c>
      <c r="Q12" s="3"/>
      <c r="S12" s="4">
        <v>3.5211299999999999E-3</v>
      </c>
      <c r="T12" s="4">
        <v>275</v>
      </c>
      <c r="U12" s="4"/>
      <c r="V12" s="4"/>
      <c r="W12" s="3"/>
      <c r="X12" s="4"/>
      <c r="Y12" s="4"/>
      <c r="Z12" s="3">
        <v>10</v>
      </c>
      <c r="AA12" s="4">
        <v>0.5</v>
      </c>
      <c r="AB12" s="4">
        <v>3.5211299999999999E-3</v>
      </c>
      <c r="AC12" s="4">
        <v>275</v>
      </c>
      <c r="AD12" s="4">
        <v>7.1054250000000001E-15</v>
      </c>
      <c r="AE12" s="4">
        <v>-3.5527149999999897E-15</v>
      </c>
      <c r="AF12" s="4">
        <v>-4.9738750000000004E-16</v>
      </c>
      <c r="AG12" s="4">
        <v>-1.3677499999999999E-16</v>
      </c>
      <c r="AH12" s="4">
        <v>-3.54387499999999E-16</v>
      </c>
    </row>
    <row r="13" spans="1:34">
      <c r="A13">
        <v>1.883E-2</v>
      </c>
      <c r="B13">
        <v>503.9</v>
      </c>
      <c r="C13">
        <v>3.1495692395600099E-3</v>
      </c>
      <c r="D13">
        <v>258.46878047560699</v>
      </c>
      <c r="E13">
        <f>EXP(Tabela4[[#This Row],[True_Strain2]])-1</f>
        <v>3.1545343440357865E-3</v>
      </c>
      <c r="F13">
        <f>Tabela4[[#This Row],[True_Stress2]]/EXP(Tabela4[[#This Row],[True_Strain2]])</f>
        <v>257.65599578794718</v>
      </c>
      <c r="M13">
        <v>3.7652100000000002E-3</v>
      </c>
      <c r="N13">
        <v>330</v>
      </c>
      <c r="O13">
        <v>2.8309899999999998E-3</v>
      </c>
      <c r="P13">
        <v>330</v>
      </c>
      <c r="Q13" s="3"/>
      <c r="S13" s="4">
        <v>3.87324E-3</v>
      </c>
      <c r="T13" s="4">
        <v>302.5</v>
      </c>
      <c r="U13" s="4"/>
      <c r="V13" s="4"/>
      <c r="W13" s="3"/>
      <c r="X13" s="4"/>
      <c r="Y13" s="4"/>
      <c r="Z13" s="3">
        <v>11</v>
      </c>
      <c r="AA13" s="4">
        <v>0.55000000000000004</v>
      </c>
      <c r="AB13" s="4">
        <v>3.87324E-3</v>
      </c>
      <c r="AC13" s="4">
        <v>302.5</v>
      </c>
      <c r="AD13" s="4">
        <v>7.1054174999999904E-15</v>
      </c>
      <c r="AE13" s="4">
        <v>1.06581275E-14</v>
      </c>
      <c r="AF13" s="4">
        <v>-1.989525E-16</v>
      </c>
      <c r="AG13" s="4">
        <v>-7.5665937499999896E-15</v>
      </c>
      <c r="AH13" s="4">
        <v>1.1098124999999901E-15</v>
      </c>
    </row>
    <row r="14" spans="1:34">
      <c r="A14">
        <v>2.1600000000000001E-2</v>
      </c>
      <c r="B14">
        <v>513</v>
      </c>
      <c r="C14">
        <v>3.42029463808504E-3</v>
      </c>
      <c r="D14">
        <v>275.71120168704601</v>
      </c>
      <c r="E14">
        <f>EXP(Tabela4[[#This Row],[True_Strain2]])-1</f>
        <v>3.4261505201680365E-3</v>
      </c>
      <c r="F14">
        <f>Tabela4[[#This Row],[True_Stress2]]/EXP(Tabela4[[#This Row],[True_Strain2]])</f>
        <v>274.76979899728502</v>
      </c>
      <c r="M14">
        <v>4.1075E-3</v>
      </c>
      <c r="N14">
        <v>360</v>
      </c>
      <c r="O14">
        <v>3.0883500000000001E-3</v>
      </c>
      <c r="P14">
        <v>360</v>
      </c>
      <c r="Q14" s="3"/>
      <c r="S14" s="4">
        <v>4.2253500000000001E-3</v>
      </c>
      <c r="T14" s="4">
        <v>330</v>
      </c>
      <c r="V14" s="4"/>
      <c r="W14" s="3"/>
      <c r="X14" s="4"/>
      <c r="Y14" s="4"/>
      <c r="Z14" s="3">
        <v>12</v>
      </c>
      <c r="AA14" s="4">
        <v>0.6</v>
      </c>
      <c r="AB14" s="4">
        <v>4.2253500000000001E-3</v>
      </c>
      <c r="AC14" s="4">
        <v>330</v>
      </c>
      <c r="AD14" s="4">
        <v>8.8817928750000006E-15</v>
      </c>
      <c r="AE14" s="4">
        <v>-1.06581375E-14</v>
      </c>
      <c r="AF14" s="4">
        <v>-1.49216624999999E-15</v>
      </c>
      <c r="AG14" s="4">
        <v>6.9261949999999903E-15</v>
      </c>
      <c r="AH14" s="4">
        <v>2.5833412500000001E-15</v>
      </c>
    </row>
    <row r="15" spans="1:34">
      <c r="A15">
        <v>2.453E-2</v>
      </c>
      <c r="B15">
        <v>516.4</v>
      </c>
      <c r="C15">
        <v>3.6528472385411901E-3</v>
      </c>
      <c r="D15">
        <v>294.27996299167302</v>
      </c>
      <c r="E15">
        <f>EXP(Tabela4[[#This Row],[True_Strain2]])-1</f>
        <v>3.6595270159409665E-3</v>
      </c>
      <c r="F15">
        <f>Tabela4[[#This Row],[True_Stress2]]/EXP(Tabela4[[#This Row],[True_Strain2]])</f>
        <v>293.20696418497607</v>
      </c>
      <c r="M15">
        <v>4.4498000000000003E-3</v>
      </c>
      <c r="N15">
        <v>390</v>
      </c>
      <c r="O15">
        <v>3.34571E-3</v>
      </c>
      <c r="P15">
        <v>390</v>
      </c>
      <c r="Q15" s="3"/>
      <c r="S15" s="4">
        <v>4.5774600000000002E-3</v>
      </c>
      <c r="T15" s="4">
        <v>357.5</v>
      </c>
      <c r="U15" s="4"/>
      <c r="W15" s="3"/>
      <c r="X15" s="4"/>
      <c r="Y15" s="4"/>
      <c r="Z15" s="3">
        <v>13</v>
      </c>
      <c r="AA15" s="4">
        <v>0.65</v>
      </c>
      <c r="AB15" s="4">
        <v>4.5774600000000002E-3</v>
      </c>
      <c r="AC15" s="4">
        <v>357.5</v>
      </c>
      <c r="AD15" s="4">
        <v>7.1054125E-15</v>
      </c>
      <c r="AE15" s="4">
        <v>2.13162999999999E-14</v>
      </c>
      <c r="AF15" s="4">
        <v>2.58645275E-15</v>
      </c>
      <c r="AG15" s="4">
        <v>1.3429606249999999E-14</v>
      </c>
      <c r="AH15" s="4">
        <v>-1.8201478749999899E-15</v>
      </c>
    </row>
    <row r="16" spans="1:34">
      <c r="A16">
        <v>2.7300000000000001E-2</v>
      </c>
      <c r="B16">
        <v>523.20000000000005</v>
      </c>
      <c r="C16">
        <v>3.8849065758152098E-3</v>
      </c>
      <c r="D16">
        <v>309.12705358705699</v>
      </c>
      <c r="E16">
        <f>EXP(Tabela4[[#This Row],[True_Strain2]])-1</f>
        <v>3.8924626070231394E-3</v>
      </c>
      <c r="F16">
        <f>Tabela4[[#This Row],[True_Stress2]]/EXP(Tabela4[[#This Row],[True_Strain2]])</f>
        <v>307.9284535957969</v>
      </c>
      <c r="M16">
        <v>4.7920899999999997E-3</v>
      </c>
      <c r="N16">
        <v>420</v>
      </c>
      <c r="O16">
        <v>3.6030699999999999E-3</v>
      </c>
      <c r="P16">
        <v>420</v>
      </c>
      <c r="Q16" s="3"/>
      <c r="S16" s="4">
        <v>4.9295800000000002E-3</v>
      </c>
      <c r="T16" s="4">
        <v>385</v>
      </c>
      <c r="U16" s="4"/>
      <c r="V16" s="4"/>
      <c r="W16" s="3"/>
      <c r="X16" s="4"/>
      <c r="Y16" s="4"/>
      <c r="Z16" s="3">
        <v>14</v>
      </c>
      <c r="AA16" s="4">
        <v>0.7</v>
      </c>
      <c r="AB16" s="4">
        <v>4.9295800000000002E-3</v>
      </c>
      <c r="AC16" s="4">
        <v>385</v>
      </c>
      <c r="AD16" s="4">
        <v>1.0658150000000001E-14</v>
      </c>
      <c r="AE16" s="4">
        <v>-1.421085E-14</v>
      </c>
      <c r="AF16" s="4">
        <v>3.8299262500000002E-15</v>
      </c>
      <c r="AG16" s="4">
        <v>-1.6270978749999999E-14</v>
      </c>
      <c r="AH16" s="4">
        <v>-2.5024962499999998E-15</v>
      </c>
    </row>
    <row r="17" spans="1:34">
      <c r="A17">
        <v>3.0179999999999998E-2</v>
      </c>
      <c r="B17">
        <v>525.5</v>
      </c>
      <c r="C17">
        <v>4.1173279892548296E-3</v>
      </c>
      <c r="D17">
        <v>326.70600885199099</v>
      </c>
      <c r="E17">
        <f>EXP(Tabela4[[#This Row],[True_Strain2]])-1</f>
        <v>4.1258158292161173E-3</v>
      </c>
      <c r="F17">
        <f>Tabela4[[#This Row],[True_Stress2]]/EXP(Tabela4[[#This Row],[True_Strain2]])</f>
        <v>325.3636184845962</v>
      </c>
      <c r="M17">
        <v>5.13438E-3</v>
      </c>
      <c r="N17">
        <v>450</v>
      </c>
      <c r="O17">
        <v>3.8604400000000001E-3</v>
      </c>
      <c r="P17">
        <v>450</v>
      </c>
      <c r="Q17" s="3"/>
      <c r="S17" s="4">
        <v>5.2816900000000003E-3</v>
      </c>
      <c r="T17" s="4">
        <v>412.5</v>
      </c>
      <c r="U17" s="4"/>
      <c r="V17" s="4"/>
      <c r="W17" s="3"/>
      <c r="X17" s="4"/>
      <c r="Y17" s="4"/>
      <c r="Z17" s="3">
        <v>15</v>
      </c>
      <c r="AA17" s="4">
        <v>0.75</v>
      </c>
      <c r="AB17" s="4">
        <v>5.2816900000000003E-3</v>
      </c>
      <c r="AC17" s="4">
        <v>412.5</v>
      </c>
      <c r="AD17" s="4">
        <v>1.7763499999999899E-15</v>
      </c>
      <c r="AE17" s="4">
        <v>3.90797999999999E-14</v>
      </c>
      <c r="AF17" s="4">
        <v>-5.9687499999999996E-16</v>
      </c>
      <c r="AG17" s="4">
        <v>4.8868749999999901E-15</v>
      </c>
      <c r="AH17" s="4">
        <v>5.7355687499999997E-15</v>
      </c>
    </row>
    <row r="18" spans="1:34">
      <c r="A18">
        <v>3.3059999999999999E-2</v>
      </c>
      <c r="B18">
        <v>528.9</v>
      </c>
      <c r="C18">
        <v>4.3494450488161199E-3</v>
      </c>
      <c r="D18">
        <v>341.98861410484</v>
      </c>
      <c r="E18">
        <f>EXP(Tabela4[[#This Row],[True_Strain2]])-1</f>
        <v>4.3589176134197771E-3</v>
      </c>
      <c r="F18">
        <f>Tabela4[[#This Row],[True_Stress2]]/EXP(Tabela4[[#This Row],[True_Strain2]])</f>
        <v>340.50438354993753</v>
      </c>
      <c r="M18">
        <v>5.4766700000000003E-3</v>
      </c>
      <c r="N18">
        <v>480</v>
      </c>
      <c r="O18">
        <v>5.0161700000000004E-3</v>
      </c>
      <c r="P18">
        <v>480</v>
      </c>
      <c r="Q18" s="3"/>
      <c r="S18" s="4">
        <v>5.6337999999999996E-3</v>
      </c>
      <c r="T18" s="4">
        <v>440</v>
      </c>
      <c r="U18" s="4"/>
      <c r="V18" s="4"/>
      <c r="W18" s="3"/>
      <c r="X18" s="4"/>
      <c r="Y18" s="4"/>
      <c r="Z18" s="3">
        <v>16</v>
      </c>
      <c r="AA18" s="4">
        <v>0.8</v>
      </c>
      <c r="AB18" s="4">
        <v>5.6337999999999996E-3</v>
      </c>
      <c r="AC18" s="4">
        <v>440</v>
      </c>
      <c r="AD18" s="4">
        <v>-4.0856262500000003E-14</v>
      </c>
      <c r="AE18" s="4">
        <v>-5.3290697499999997E-14</v>
      </c>
      <c r="AF18" s="4">
        <v>-1.0445251249999901E-15</v>
      </c>
      <c r="AG18" s="4">
        <v>-1.0588241499999901E-14</v>
      </c>
      <c r="AH18" s="4">
        <v>1.8340337499999901E-16</v>
      </c>
    </row>
    <row r="19" spans="1:34">
      <c r="A19">
        <v>3.5959999999999999E-2</v>
      </c>
      <c r="B19">
        <v>532.29999999999995</v>
      </c>
      <c r="C19">
        <v>4.6203462379432901E-3</v>
      </c>
      <c r="D19">
        <v>360.557375409467</v>
      </c>
      <c r="E19">
        <f>EXP(Tabela4[[#This Row],[True_Strain2]])-1</f>
        <v>4.6310364955117755E-3</v>
      </c>
      <c r="F19">
        <f>Tabela4[[#This Row],[True_Stress2]]/EXP(Tabela4[[#This Row],[True_Strain2]])</f>
        <v>358.89531809330856</v>
      </c>
      <c r="M19">
        <v>5.8189599999999998E-3</v>
      </c>
      <c r="N19">
        <v>510</v>
      </c>
      <c r="O19">
        <v>1.90946E-2</v>
      </c>
      <c r="P19">
        <v>510</v>
      </c>
      <c r="Q19" s="3"/>
      <c r="S19" s="4">
        <v>5.9859199999999996E-3</v>
      </c>
      <c r="T19" s="4">
        <v>467.5</v>
      </c>
      <c r="U19" s="4"/>
      <c r="V19" s="4"/>
      <c r="W19" s="3"/>
      <c r="X19" s="4"/>
      <c r="Y19" s="4"/>
      <c r="Z19" s="3">
        <v>17</v>
      </c>
      <c r="AA19" s="4">
        <v>0.85</v>
      </c>
      <c r="AB19" s="4">
        <v>5.9859199999999996E-3</v>
      </c>
      <c r="AC19" s="4">
        <v>467.5</v>
      </c>
      <c r="AD19" s="4">
        <v>4.2632549999999999E-14</v>
      </c>
      <c r="AE19" s="4">
        <v>7.1054249999999901E-14</v>
      </c>
      <c r="AF19" s="4">
        <v>1.0146812499999999E-14</v>
      </c>
      <c r="AG19" s="4">
        <v>-4.9614949999999897E-15</v>
      </c>
      <c r="AH19" s="4">
        <v>9.9479625E-16</v>
      </c>
    </row>
    <row r="20" spans="1:34">
      <c r="A20">
        <v>3.8780000000000002E-2</v>
      </c>
      <c r="B20">
        <v>534.6</v>
      </c>
      <c r="C20">
        <v>4.92975606390165E-3</v>
      </c>
      <c r="D20">
        <v>380.33370008251802</v>
      </c>
      <c r="E20">
        <f>EXP(Tabela4[[#This Row],[True_Strain2]])-1</f>
        <v>4.9419273035213873E-3</v>
      </c>
      <c r="F20">
        <f>Tabela4[[#This Row],[True_Stress2]]/EXP(Tabela4[[#This Row],[True_Strain2]])</f>
        <v>378.4633616621374</v>
      </c>
      <c r="M20">
        <v>6.1612500000000001E-3</v>
      </c>
      <c r="N20">
        <v>540</v>
      </c>
      <c r="O20">
        <v>3.3173000000000001E-2</v>
      </c>
      <c r="P20">
        <v>540</v>
      </c>
      <c r="Q20" s="3"/>
      <c r="S20" s="4">
        <v>2.1955800000000001E-2</v>
      </c>
      <c r="T20" s="4">
        <v>495</v>
      </c>
      <c r="U20" s="4"/>
      <c r="V20" s="4"/>
      <c r="W20" s="3"/>
      <c r="X20" s="4"/>
      <c r="Y20" s="4"/>
      <c r="Z20" s="3">
        <v>18</v>
      </c>
      <c r="AA20" s="4">
        <v>0.9</v>
      </c>
      <c r="AB20" s="4">
        <v>2.1955800000000001E-2</v>
      </c>
      <c r="AC20" s="4">
        <v>495</v>
      </c>
      <c r="AD20" s="4">
        <v>9.9475937499999898E-14</v>
      </c>
      <c r="AE20" s="4">
        <v>6.0395726250000004E-14</v>
      </c>
      <c r="AF20" s="4">
        <v>-6.0016999999999902E-15</v>
      </c>
      <c r="AG20" s="4">
        <v>2.9245174999999999E-14</v>
      </c>
      <c r="AH20" s="4">
        <v>1.57544337499999E-14</v>
      </c>
    </row>
    <row r="21" spans="1:34">
      <c r="A21">
        <v>4.163E-2</v>
      </c>
      <c r="B21">
        <v>536.9</v>
      </c>
      <c r="C21">
        <v>5.2002820581615603E-3</v>
      </c>
      <c r="D21">
        <v>396.071616113625</v>
      </c>
      <c r="E21">
        <f>EXP(Tabela4[[#This Row],[True_Strain2]])-1</f>
        <v>5.2138269938875048E-3</v>
      </c>
      <c r="F21">
        <f>Tabela4[[#This Row],[True_Stress2]]/EXP(Tabela4[[#This Row],[True_Strain2]])</f>
        <v>394.0172781925267</v>
      </c>
      <c r="M21">
        <v>1.9726500000000001E-2</v>
      </c>
      <c r="N21">
        <v>570</v>
      </c>
      <c r="O21">
        <v>4.7251399999999999E-2</v>
      </c>
      <c r="P21">
        <v>570</v>
      </c>
      <c r="Q21" s="3"/>
      <c r="S21" s="4">
        <v>4.7646599999999997E-2</v>
      </c>
      <c r="T21" s="4">
        <v>522.5</v>
      </c>
      <c r="U21" s="4"/>
      <c r="V21" s="4"/>
      <c r="W21" s="3"/>
      <c r="X21" s="4"/>
      <c r="Y21" s="4"/>
      <c r="Z21" s="3">
        <v>19</v>
      </c>
      <c r="AA21" s="4">
        <v>0.95</v>
      </c>
      <c r="AB21" s="4">
        <v>4.7646599999999997E-2</v>
      </c>
      <c r="AC21" s="4">
        <v>522.5</v>
      </c>
      <c r="AD21" s="4">
        <v>8.9883612499999901E-13</v>
      </c>
      <c r="AE21" s="4">
        <v>8.3133524999999995E-13</v>
      </c>
      <c r="AF21" s="4">
        <v>-4.1292300000000002E-14</v>
      </c>
      <c r="AG21" s="4">
        <v>-1.14829999999999E-14</v>
      </c>
      <c r="AH21" s="4">
        <v>-1.2168006625000001E-13</v>
      </c>
    </row>
    <row r="22" spans="1:34">
      <c r="A22">
        <v>4.4580000000000002E-2</v>
      </c>
      <c r="B22">
        <v>540.29999999999995</v>
      </c>
      <c r="C22">
        <v>5.4709576056203102E-3</v>
      </c>
      <c r="D22">
        <v>412.93791102998102</v>
      </c>
      <c r="E22">
        <f>EXP(Tabela4[[#This Row],[True_Strain2]])-1</f>
        <v>5.4859506237669997E-3</v>
      </c>
      <c r="F22">
        <f>Tabela4[[#This Row],[True_Stress2]]/EXP(Tabela4[[#This Row],[True_Strain2]])</f>
        <v>410.6849138705611</v>
      </c>
      <c r="M22">
        <v>4.0238099999999999E-2</v>
      </c>
      <c r="N22">
        <v>600</v>
      </c>
      <c r="O22">
        <v>6.13299E-2</v>
      </c>
      <c r="P22">
        <v>600</v>
      </c>
      <c r="Q22" s="3"/>
      <c r="S22" s="4">
        <v>7.3337299999999994E-2</v>
      </c>
      <c r="T22" s="4">
        <v>550</v>
      </c>
      <c r="U22" s="4"/>
      <c r="V22" s="4"/>
      <c r="W22" s="3"/>
      <c r="X22" s="4"/>
      <c r="Y22" s="4"/>
      <c r="Z22" s="3">
        <v>20</v>
      </c>
      <c r="AA22" s="4">
        <v>1</v>
      </c>
      <c r="AB22" s="4">
        <v>7.3337299999999994E-2</v>
      </c>
      <c r="AC22" s="4">
        <v>550</v>
      </c>
      <c r="AD22" s="4">
        <v>-3.9435137499999901E-13</v>
      </c>
      <c r="AE22" s="4">
        <v>-3.6948262500000001E-13</v>
      </c>
      <c r="AF22" s="4">
        <v>9.9958224999999995E-14</v>
      </c>
      <c r="AG22" s="4">
        <v>-1.1052549999999999E-14</v>
      </c>
      <c r="AH22" s="4">
        <v>-5.29377499999999E-14</v>
      </c>
    </row>
    <row r="23" spans="1:34">
      <c r="A23">
        <v>4.743E-2</v>
      </c>
      <c r="B23">
        <v>543.1</v>
      </c>
      <c r="C23">
        <v>5.7799187719821399E-3</v>
      </c>
      <c r="D23">
        <v>429.32909904728501</v>
      </c>
      <c r="E23">
        <f>EXP(Tabela4[[#This Row],[True_Strain2]])-1</f>
        <v>5.7966547311123495E-3</v>
      </c>
      <c r="F23">
        <f>Tabela4[[#This Row],[True_Stress2]]/EXP(Tabela4[[#This Row],[True_Strain2]])</f>
        <v>426.85476932915532</v>
      </c>
    </row>
    <row r="24" spans="1:34">
      <c r="C24">
        <v>6.1273796544580299E-3</v>
      </c>
      <c r="D24">
        <v>446.86054362231499</v>
      </c>
      <c r="E24">
        <f>EXP(Tabela4[[#This Row],[True_Strain2]])-1</f>
        <v>6.1461904458337546E-3</v>
      </c>
      <c r="F24">
        <f>Tabela4[[#This Row],[True_Stress2]]/EXP(Tabela4[[#This Row],[True_Strain2]])</f>
        <v>444.13083095241507</v>
      </c>
    </row>
    <row r="25" spans="1:34">
      <c r="C25">
        <v>6.5515975355555003E-3</v>
      </c>
      <c r="D25">
        <v>464.84333975144398</v>
      </c>
      <c r="E25">
        <f>EXP(Tabela4[[#This Row],[True_Strain2]])-1</f>
        <v>6.5731061970644156E-3</v>
      </c>
      <c r="F25">
        <f>Tabela4[[#This Row],[True_Stress2]]/EXP(Tabela4[[#This Row],[True_Strain2]])</f>
        <v>461.80782785630879</v>
      </c>
    </row>
    <row r="26" spans="1:34">
      <c r="C26">
        <v>7.2056258745331302E-3</v>
      </c>
      <c r="D26">
        <v>480.705431449348</v>
      </c>
      <c r="E26">
        <f>EXP(Tabela4[[#This Row],[True_Strain2]])-1</f>
        <v>7.231648863078588E-3</v>
      </c>
      <c r="F26">
        <f>Tabela4[[#This Row],[True_Stress2]]/EXP(Tabela4[[#This Row],[True_Strain2]])</f>
        <v>477.25409739849658</v>
      </c>
    </row>
    <row r="27" spans="1:34">
      <c r="C27">
        <v>8.0503681736126004E-3</v>
      </c>
      <c r="D27">
        <v>488.80384450137598</v>
      </c>
      <c r="E27">
        <f>EXP(Tabela4[[#This Row],[True_Strain2]])-1</f>
        <v>8.0828595180495455E-3</v>
      </c>
      <c r="F27">
        <f>Tabela4[[#This Row],[True_Stress2]]/EXP(Tabela4[[#This Row],[True_Strain2]])</f>
        <v>484.8845904741068</v>
      </c>
    </row>
    <row r="28" spans="1:34">
      <c r="C28">
        <v>8.8943376619037996E-3</v>
      </c>
      <c r="D28">
        <v>491.07140015594399</v>
      </c>
      <c r="E28">
        <f>EXP(Tabela4[[#This Row],[True_Strain2]])-1</f>
        <v>8.9340098150707536E-3</v>
      </c>
      <c r="F28">
        <f>Tabela4[[#This Row],[True_Stress2]]/EXP(Tabela4[[#This Row],[True_Strain2]])</f>
        <v>486.72301198960804</v>
      </c>
    </row>
    <row r="29" spans="1:34">
      <c r="C29">
        <v>9.7381354144642704E-3</v>
      </c>
      <c r="D29">
        <v>492.04320972218699</v>
      </c>
      <c r="E29">
        <f>EXP(Tabela4[[#This Row],[True_Strain2]])-1</f>
        <v>9.7857053438874519E-3</v>
      </c>
      <c r="F29">
        <f>Tabela4[[#This Row],[True_Stress2]]/EXP(Tabela4[[#This Row],[True_Strain2]])</f>
        <v>487.2748813121882</v>
      </c>
    </row>
    <row r="30" spans="1:34">
      <c r="C30">
        <v>1.0582001861316999E-2</v>
      </c>
      <c r="D30">
        <v>493.53331772375998</v>
      </c>
      <c r="E30">
        <f>EXP(Tabela4[[#This Row],[True_Strain2]])-1</f>
        <v>1.0638189259836839E-2</v>
      </c>
      <c r="F30">
        <f>Tabela4[[#This Row],[True_Stress2]]/EXP(Tabela4[[#This Row],[True_Strain2]])</f>
        <v>488.33828265010447</v>
      </c>
    </row>
    <row r="31" spans="1:34">
      <c r="C31">
        <v>1.14258940685294E-2</v>
      </c>
      <c r="D31">
        <v>495.21778763858202</v>
      </c>
      <c r="E31">
        <f>EXP(Tabela4[[#This Row],[True_Strain2]])-1</f>
        <v>1.1491418918358365E-2</v>
      </c>
      <c r="F31">
        <f>Tabela4[[#This Row],[True_Stress2]]/EXP(Tabela4[[#This Row],[True_Strain2]])</f>
        <v>489.59168449312676</v>
      </c>
    </row>
    <row r="32" spans="1:34">
      <c r="C32">
        <v>1.2269683234303301E-2</v>
      </c>
      <c r="D32">
        <v>496.12480990040899</v>
      </c>
      <c r="E32">
        <f>EXP(Tabela4[[#This Row],[True_Strain2]])-1</f>
        <v>1.2345264601123063E-2</v>
      </c>
      <c r="F32">
        <f>Tabela4[[#This Row],[True_Stress2]]/EXP(Tabela4[[#This Row],[True_Strain2]])</f>
        <v>490.07470795636948</v>
      </c>
      <c r="I32" t="s">
        <v>19</v>
      </c>
    </row>
    <row r="33" spans="3:9">
      <c r="C33">
        <v>1.31135754415157E-2</v>
      </c>
      <c r="D33">
        <v>497.80927981523098</v>
      </c>
      <c r="E33">
        <f>EXP(Tabela4[[#This Row],[True_Strain2]])-1</f>
        <v>1.3199935455243672E-2</v>
      </c>
      <c r="F33">
        <f>Tabela4[[#This Row],[True_Stress2]]/EXP(Tabela4[[#This Row],[True_Strain2]])</f>
        <v>491.32383688078198</v>
      </c>
      <c r="I33" t="s">
        <v>20</v>
      </c>
    </row>
    <row r="34" spans="3:9">
      <c r="C34">
        <v>1.39573817808627E-2</v>
      </c>
      <c r="D34">
        <v>498.84587668589</v>
      </c>
      <c r="E34">
        <f>EXP(Tabela4[[#This Row],[True_Strain2]])-1</f>
        <v>1.4055240789089263E-2</v>
      </c>
      <c r="F34">
        <f>Tabela4[[#This Row],[True_Stress2]]/EXP(Tabela4[[#This Row],[True_Strain2]])</f>
        <v>491.93165877010017</v>
      </c>
      <c r="I34" t="s">
        <v>21</v>
      </c>
    </row>
    <row r="35" spans="3:9">
      <c r="C35">
        <v>1.48012052937828E-2</v>
      </c>
      <c r="D35">
        <v>500.012048165382</v>
      </c>
      <c r="E35">
        <f>EXP(Tabela4[[#This Row],[True_Strain2]])-1</f>
        <v>1.4911285569229049E-2</v>
      </c>
      <c r="F35">
        <f>Tabela4[[#This Row],[True_Stress2]]/EXP(Tabela4[[#This Row],[True_Strain2]])</f>
        <v>492.66576820548636</v>
      </c>
    </row>
    <row r="36" spans="3:9">
      <c r="C36">
        <v>1.5645088914208599E-2</v>
      </c>
      <c r="D36">
        <v>501.63173077578801</v>
      </c>
      <c r="E36">
        <f>EXP(Tabela4[[#This Row],[True_Strain2]])-1</f>
        <v>1.5768114060222382E-2</v>
      </c>
      <c r="F36">
        <f>Tabela4[[#This Row],[True_Stress2]]/EXP(Tabela4[[#This Row],[True_Strain2]])</f>
        <v>493.84473073354172</v>
      </c>
      <c r="I36" t="s">
        <v>22</v>
      </c>
    </row>
    <row r="37" spans="3:9">
      <c r="C37">
        <v>1.64889982949941E-2</v>
      </c>
      <c r="D37">
        <v>503.445775299442</v>
      </c>
      <c r="E37">
        <f>EXP(Tabela4[[#This Row],[True_Strain2]])-1</f>
        <v>1.6625692108564349E-2</v>
      </c>
      <c r="F37">
        <f>Tabela4[[#This Row],[True_Stress2]]/EXP(Tabela4[[#This Row],[True_Strain2]])</f>
        <v>495.21252434143634</v>
      </c>
    </row>
    <row r="38" spans="3:9">
      <c r="C38">
        <v>1.7332856155060299E-2</v>
      </c>
      <c r="D38">
        <v>504.87109599659902</v>
      </c>
      <c r="E38">
        <f>EXP(Tabela4[[#This Row],[True_Strain2]])-1</f>
        <v>1.7483941759022459E-2</v>
      </c>
      <c r="F38">
        <f>Tabela4[[#This Row],[True_Stress2]]/EXP(Tabela4[[#This Row],[True_Strain2]])</f>
        <v>496.19564032016046</v>
      </c>
      <c r="I38" t="s">
        <v>23</v>
      </c>
    </row>
    <row r="39" spans="3:9">
      <c r="C39">
        <v>1.81766624944073E-2</v>
      </c>
      <c r="D39">
        <v>505.90769286725799</v>
      </c>
      <c r="E39">
        <f>EXP(Tabela4[[#This Row],[True_Strain2]])-1</f>
        <v>1.8342863490099948E-2</v>
      </c>
      <c r="F39">
        <f>Tabela4[[#This Row],[True_Stress2]]/EXP(Tabela4[[#This Row],[True_Strain2]])</f>
        <v>496.79504909907615</v>
      </c>
      <c r="I39" t="s">
        <v>24</v>
      </c>
    </row>
    <row r="40" spans="3:9">
      <c r="C40">
        <v>1.9020528941260099E-2</v>
      </c>
      <c r="D40">
        <v>507.39780086883098</v>
      </c>
      <c r="E40">
        <f>EXP(Tabela4[[#This Row],[True_Strain2]])-1</f>
        <v>1.9202571552368042E-2</v>
      </c>
      <c r="F40">
        <f>Tabela4[[#This Row],[True_Stress2]]/EXP(Tabela4[[#This Row],[True_Strain2]])</f>
        <v>497.83803046729281</v>
      </c>
      <c r="I40" t="s">
        <v>25</v>
      </c>
    </row>
    <row r="41" spans="3:9">
      <c r="C41">
        <v>1.9864386801326302E-2</v>
      </c>
      <c r="D41">
        <v>508.823121565988</v>
      </c>
      <c r="E41">
        <f>EXP(Tabela4[[#This Row],[True_Strain2]])-1</f>
        <v>2.0062996640550113E-2</v>
      </c>
      <c r="F41">
        <f>Tabela4[[#This Row],[True_Stress2]]/EXP(Tabela4[[#This Row],[True_Strain2]])</f>
        <v>498.815390070744</v>
      </c>
    </row>
    <row r="42" spans="3:9">
      <c r="C42">
        <v>2.0708210314246401E-2</v>
      </c>
      <c r="D42">
        <v>509.98929304548</v>
      </c>
      <c r="E42">
        <f>EXP(Tabela4[[#This Row],[True_Strain2]])-1</f>
        <v>2.0924113045814652E-2</v>
      </c>
      <c r="F42">
        <f>Tabela4[[#This Row],[True_Stress2]]/EXP(Tabela4[[#This Row],[True_Strain2]])</f>
        <v>499.53692593662333</v>
      </c>
    </row>
    <row r="43" spans="3:9">
      <c r="C43">
        <v>2.1552136868604899E-2</v>
      </c>
      <c r="D43">
        <v>511.93291217796701</v>
      </c>
      <c r="E43">
        <f>EXP(Tabela4[[#This Row],[True_Strain2]])-1</f>
        <v>2.1786061674309298E-2</v>
      </c>
      <c r="F43">
        <f>Tabela4[[#This Row],[True_Stress2]]/EXP(Tabela4[[#This Row],[True_Strain2]])</f>
        <v>501.01770945975562</v>
      </c>
    </row>
    <row r="44" spans="3:9">
      <c r="C44">
        <v>2.23959775550981E-2</v>
      </c>
      <c r="D44">
        <v>513.22865826629095</v>
      </c>
      <c r="E44">
        <f>EXP(Tabela4[[#This Row],[True_Strain2]])-1</f>
        <v>2.2648650218511479E-2</v>
      </c>
      <c r="F44">
        <f>Tabela4[[#This Row],[True_Stress2]]/EXP(Tabela4[[#This Row],[True_Strain2]])</f>
        <v>501.8621577964517</v>
      </c>
    </row>
    <row r="45" spans="3:9">
      <c r="C45">
        <v>2.3239878349097E-2</v>
      </c>
      <c r="D45">
        <v>514.97791548552902</v>
      </c>
      <c r="E45">
        <f>EXP(Tabela4[[#This Row],[True_Strain2]])-1</f>
        <v>2.3512028477972846E-2</v>
      </c>
      <c r="F45">
        <f>Tabela4[[#This Row],[True_Stress2]]/EXP(Tabela4[[#This Row],[True_Strain2]])</f>
        <v>503.14788801391398</v>
      </c>
    </row>
    <row r="46" spans="3:9">
      <c r="C46">
        <v>2.4083701862016998E-2</v>
      </c>
      <c r="D46">
        <v>516.14408696502096</v>
      </c>
      <c r="E46">
        <f>EXP(Tabela4[[#This Row],[True_Strain2]])-1</f>
        <v>2.4376056485664988E-2</v>
      </c>
      <c r="F46">
        <f>Tabela4[[#This Row],[True_Stress2]]/EXP(Tabela4[[#This Row],[True_Strain2]])</f>
        <v>503.86192033398413</v>
      </c>
    </row>
    <row r="47" spans="3:9">
      <c r="C47">
        <v>2.4927525374937101E-2</v>
      </c>
      <c r="D47">
        <v>517.31025844451301</v>
      </c>
      <c r="E47">
        <f>EXP(Tabela4[[#This Row],[True_Strain2]])-1</f>
        <v>2.5240813888202762E-2</v>
      </c>
      <c r="F47">
        <f>Tabela4[[#This Row],[True_Stress2]]/EXP(Tabela4[[#This Row],[True_Strain2]])</f>
        <v>504.57439016949149</v>
      </c>
    </row>
    <row r="48" spans="3:9">
      <c r="C48">
        <v>2.5771426168936001E-2</v>
      </c>
      <c r="D48">
        <v>519.05951566375097</v>
      </c>
      <c r="E48">
        <f>EXP(Tabela4[[#This Row],[True_Strain2]])-1</f>
        <v>2.6106380599931756E-2</v>
      </c>
      <c r="F48">
        <f>Tabela4[[#This Row],[True_Stress2]]/EXP(Tabela4[[#This Row],[True_Strain2]])</f>
        <v>505.85351136816183</v>
      </c>
    </row>
    <row r="49" spans="3:6">
      <c r="C49">
        <v>2.661521533471E-2</v>
      </c>
      <c r="D49">
        <v>519.966537925578</v>
      </c>
      <c r="E49">
        <f>EXP(Tabela4[[#This Row],[True_Strain2]])-1</f>
        <v>2.6972563433266483E-2</v>
      </c>
      <c r="F49">
        <f>Tabela4[[#This Row],[True_Stress2]]/EXP(Tabela4[[#This Row],[True_Strain2]])</f>
        <v>506.31005777533204</v>
      </c>
    </row>
    <row r="50" spans="3:6">
      <c r="C50">
        <v>2.7459107541922399E-2</v>
      </c>
      <c r="D50">
        <v>521.65100784039998</v>
      </c>
      <c r="E50">
        <f>EXP(Tabela4[[#This Row],[True_Strain2]])-1</f>
        <v>2.7839583360794729E-2</v>
      </c>
      <c r="F50">
        <f>Tabela4[[#This Row],[True_Stress2]]/EXP(Tabela4[[#This Row],[True_Strain2]])</f>
        <v>507.52181204650958</v>
      </c>
    </row>
    <row r="51" spans="3:6">
      <c r="C51">
        <v>2.8302922468055901E-2</v>
      </c>
      <c r="D51">
        <v>522.75239201547595</v>
      </c>
      <c r="E51">
        <f>EXP(Tabela4[[#This Row],[True_Strain2]])-1</f>
        <v>2.8707255768886331E-2</v>
      </c>
      <c r="F51">
        <f>Tabela4[[#This Row],[True_Stress2]]/EXP(Tabela4[[#This Row],[True_Strain2]])</f>
        <v>508.16438698563985</v>
      </c>
    </row>
    <row r="52" spans="3:6">
      <c r="C52">
        <v>2.9146720220616401E-2</v>
      </c>
      <c r="D52">
        <v>523.72420158171894</v>
      </c>
      <c r="E52">
        <f>EXP(Tabela4[[#This Row],[True_Strain2]])-1</f>
        <v>2.9575642959402737E-2</v>
      </c>
      <c r="F52">
        <f>Tabela4[[#This Row],[True_Stress2]]/EXP(Tabela4[[#This Row],[True_Strain2]])</f>
        <v>508.6796731868393</v>
      </c>
    </row>
    <row r="53" spans="3:6">
      <c r="C53">
        <v>2.9990560907109502E-2</v>
      </c>
      <c r="D53">
        <v>525.01994767004396</v>
      </c>
      <c r="E53">
        <f>EXP(Tabela4[[#This Row],[True_Strain2]])-1</f>
        <v>3.0444807443356314E-2</v>
      </c>
      <c r="F53">
        <f>Tabela4[[#This Row],[True_Stress2]]/EXP(Tabela4[[#This Row],[True_Strain2]])</f>
        <v>509.5080725115929</v>
      </c>
    </row>
    <row r="54" spans="3:6">
      <c r="C54">
        <v>3.0834487461468101E-2</v>
      </c>
      <c r="D54">
        <v>526.96356680252995</v>
      </c>
      <c r="E54">
        <f>EXP(Tabela4[[#This Row],[True_Strain2]])-1</f>
        <v>3.131479422999961E-2</v>
      </c>
      <c r="F54">
        <f>Tabela4[[#This Row],[True_Stress2]]/EXP(Tabela4[[#This Row],[True_Strain2]])</f>
        <v>510.96286967935094</v>
      </c>
    </row>
    <row r="55" spans="3:6">
      <c r="C55">
        <v>3.1678242280095803E-2</v>
      </c>
      <c r="D55">
        <v>527.61143984669195</v>
      </c>
      <c r="E55">
        <f>EXP(Tabela4[[#This Row],[True_Strain2]])-1</f>
        <v>3.2185338268370112E-2</v>
      </c>
      <c r="F55">
        <f>Tabela4[[#This Row],[True_Stress2]]/EXP(Tabela4[[#This Row],[True_Strain2]])</f>
        <v>511.15959536087888</v>
      </c>
    </row>
    <row r="56" spans="3:6">
      <c r="C56">
        <v>3.25220743798025E-2</v>
      </c>
      <c r="D56">
        <v>528.842398630601</v>
      </c>
      <c r="E56">
        <f>EXP(Tabela4[[#This Row],[True_Strain2]])-1</f>
        <v>3.3056696978168043E-2</v>
      </c>
      <c r="F56">
        <f>Tabela4[[#This Row],[True_Stress2]]/EXP(Tabela4[[#This Row],[True_Strain2]])</f>
        <v>511.92001385551953</v>
      </c>
    </row>
    <row r="57" spans="3:6">
      <c r="C57">
        <v>3.3365940826655199E-2</v>
      </c>
      <c r="D57">
        <v>530.33250663217405</v>
      </c>
      <c r="E57">
        <f>EXP(Tabela4[[#This Row],[True_Strain2]])-1</f>
        <v>3.3928826791233213E-2</v>
      </c>
      <c r="F57">
        <f>Tabela4[[#This Row],[True_Stress2]]/EXP(Tabela4[[#This Row],[True_Strain2]])</f>
        <v>512.92941340850791</v>
      </c>
    </row>
    <row r="58" spans="3:6">
      <c r="C58">
        <v>3.4209764339575302E-2</v>
      </c>
      <c r="D58">
        <v>531.49867811166598</v>
      </c>
      <c r="E58">
        <f>EXP(Tabela4[[#This Row],[True_Strain2]])-1</f>
        <v>3.4801648447893685E-2</v>
      </c>
      <c r="F58">
        <f>Tabela4[[#This Row],[True_Stress2]]/EXP(Tabela4[[#This Row],[True_Strain2]])</f>
        <v>513.62372577282281</v>
      </c>
    </row>
    <row r="59" spans="3:6">
      <c r="C59">
        <v>3.5053544918562697E-2</v>
      </c>
      <c r="D59">
        <v>532.34091306907601</v>
      </c>
      <c r="E59">
        <f>EXP(Tabela4[[#This Row],[True_Strain2]])-1</f>
        <v>3.5675162457210474E-2</v>
      </c>
      <c r="F59">
        <f>Tabela4[[#This Row],[True_Stress2]]/EXP(Tabela4[[#This Row],[True_Strain2]])</f>
        <v>514.00374592942887</v>
      </c>
    </row>
    <row r="60" spans="3:6">
      <c r="C60">
        <v>3.5897325497550099E-2</v>
      </c>
      <c r="D60">
        <v>533.18314802648695</v>
      </c>
      <c r="E60">
        <f>EXP(Tabela4[[#This Row],[True_Strain2]])-1</f>
        <v>3.6549413831727051E-2</v>
      </c>
      <c r="F60">
        <f>Tabela4[[#This Row],[True_Stress2]]/EXP(Tabela4[[#This Row],[True_Strain2]])</f>
        <v>514.38275967521179</v>
      </c>
    </row>
    <row r="61" spans="3:6">
      <c r="C61">
        <v>3.6741140423683698E-2</v>
      </c>
      <c r="D61">
        <v>534.28453220156302</v>
      </c>
      <c r="E61">
        <f>EXP(Tabela4[[#This Row],[True_Strain2]])-1</f>
        <v>3.742443882644908E-2</v>
      </c>
      <c r="F61">
        <f>Tabela4[[#This Row],[True_Stress2]]/EXP(Tabela4[[#This Row],[True_Strain2]])</f>
        <v>515.01055132839758</v>
      </c>
    </row>
    <row r="62" spans="3:6">
      <c r="C62">
        <v>3.7584972523390298E-2</v>
      </c>
      <c r="D62">
        <v>535.51549098547105</v>
      </c>
      <c r="E62">
        <f>EXP(Tabela4[[#This Row],[True_Strain2]])-1</f>
        <v>3.8300220323253864E-2</v>
      </c>
      <c r="F62">
        <f>Tabela4[[#This Row],[True_Stress2]]/EXP(Tabela4[[#This Row],[True_Strain2]])</f>
        <v>515.7617040847291</v>
      </c>
    </row>
    <row r="63" spans="3:6">
      <c r="C63">
        <v>3.8428718755231503E-2</v>
      </c>
      <c r="D63">
        <v>536.09857672521696</v>
      </c>
      <c r="E63">
        <f>EXP(Tabela4[[#This Row],[True_Strain2]])-1</f>
        <v>3.9176651912602001E-2</v>
      </c>
      <c r="F63">
        <f>Tabela4[[#This Row],[True_Stress2]]/EXP(Tabela4[[#This Row],[True_Strain2]])</f>
        <v>515.88781920622341</v>
      </c>
    </row>
    <row r="64" spans="3:6">
      <c r="C64">
        <v>3.9272525094578598E-2</v>
      </c>
      <c r="D64">
        <v>537.13517359587695</v>
      </c>
      <c r="E64">
        <f>EXP(Tabela4[[#This Row],[True_Strain2]])-1</f>
        <v>4.0053885814901546E-2</v>
      </c>
      <c r="F64">
        <f>Tabela4[[#This Row],[True_Stress2]]/EXP(Tabela4[[#This Row],[True_Strain2]])</f>
        <v>516.44936951994714</v>
      </c>
    </row>
    <row r="65" spans="3:6">
      <c r="C65">
        <v>4.01162799132063E-2</v>
      </c>
      <c r="D65">
        <v>537.78304664003895</v>
      </c>
      <c r="E65">
        <f>EXP(Tabela4[[#This Row],[True_Strain2]])-1</f>
        <v>4.0931806615559063E-2</v>
      </c>
      <c r="F65">
        <f>Tabela4[[#This Row],[True_Stress2]]/EXP(Tabela4[[#This Row],[True_Strain2]])</f>
        <v>516.63619386227003</v>
      </c>
    </row>
    <row r="66" spans="3:6">
      <c r="C66">
        <v>4.0960086252553402E-2</v>
      </c>
      <c r="D66">
        <v>538.81964351069905</v>
      </c>
      <c r="E66">
        <f>EXP(Tabela4[[#This Row],[True_Strain2]])-1</f>
        <v>4.1810522153542085E-2</v>
      </c>
      <c r="F66">
        <f>Tabela4[[#This Row],[True_Stress2]]/EXP(Tabela4[[#This Row],[True_Strain2]])</f>
        <v>517.19543242555937</v>
      </c>
    </row>
    <row r="67" spans="3:6">
      <c r="C67">
        <v>4.1803926939046498E-2</v>
      </c>
      <c r="D67">
        <v>540.11538959902305</v>
      </c>
      <c r="E67">
        <f>EXP(Tabela4[[#This Row],[True_Strain2]])-1</f>
        <v>4.2690015283606941E-2</v>
      </c>
      <c r="F67">
        <f>Tabela4[[#This Row],[True_Stress2]]/EXP(Tabela4[[#This Row],[True_Strain2]])</f>
        <v>518.00188136654799</v>
      </c>
    </row>
    <row r="68" spans="3:6">
      <c r="C68">
        <v>4.2647647410528199E-2</v>
      </c>
      <c r="D68">
        <v>540.50411342552002</v>
      </c>
      <c r="E68">
        <f>EXP(Tabela4[[#This Row],[True_Strain2]])-1</f>
        <v>4.3570125426173778E-2</v>
      </c>
      <c r="F68">
        <f>Tabela4[[#This Row],[True_Stress2]]/EXP(Tabela4[[#This Row],[True_Strain2]])</f>
        <v>517.93751110380686</v>
      </c>
    </row>
    <row r="69" spans="3:6">
      <c r="C69">
        <v>4.3491393642369397E-2</v>
      </c>
      <c r="D69">
        <v>541.08719916526604</v>
      </c>
      <c r="E69">
        <f>EXP(Tabela4[[#This Row],[True_Strain2]])-1</f>
        <v>4.4451005354465334E-2</v>
      </c>
      <c r="F69">
        <f>Tabela4[[#This Row],[True_Stress2]]/EXP(Tabela4[[#This Row],[True_Strain2]])</f>
        <v>518.05895766420565</v>
      </c>
    </row>
    <row r="70" spans="3:6">
      <c r="C70">
        <v>4.4335191394929897E-2</v>
      </c>
      <c r="D70">
        <v>542.05900873150995</v>
      </c>
      <c r="E70">
        <f>EXP(Tabela4[[#This Row],[True_Strain2]])-1</f>
        <v>4.5332682691808568E-2</v>
      </c>
      <c r="F70">
        <f>Tabela4[[#This Row],[True_Stress2]]/EXP(Tabela4[[#This Row],[True_Strain2]])</f>
        <v>518.55167039804792</v>
      </c>
    </row>
    <row r="71" spans="3:6">
      <c r="C71">
        <v>4.5178843172119301E-2</v>
      </c>
      <c r="D71">
        <v>541.92943412267698</v>
      </c>
      <c r="E71">
        <f>EXP(Tabela4[[#This Row],[True_Strain2]])-1</f>
        <v>4.6214951578843477E-2</v>
      </c>
      <c r="F71">
        <f>Tabela4[[#This Row],[True_Stress2]]/EXP(Tabela4[[#This Row],[True_Strain2]])</f>
        <v>517.99052699911329</v>
      </c>
    </row>
    <row r="72" spans="3:6">
      <c r="C72">
        <v>4.6022692445398902E-2</v>
      </c>
      <c r="D72">
        <v>543.28996751541797</v>
      </c>
      <c r="E72">
        <f>EXP(Tabela4[[#This Row],[True_Strain2]])-1</f>
        <v>4.7098171905432418E-2</v>
      </c>
      <c r="F72">
        <f>Tabela4[[#This Row],[True_Stress2]]/EXP(Tabela4[[#This Row],[True_Strain2]])</f>
        <v>518.85294243879616</v>
      </c>
    </row>
    <row r="73" spans="3:6">
      <c r="C73">
        <v>4.6866473024386297E-2</v>
      </c>
      <c r="D73">
        <v>544.13220247282902</v>
      </c>
      <c r="E73">
        <f>EXP(Tabela4[[#This Row],[True_Strain2]])-1</f>
        <v>4.7982065861014389E-2</v>
      </c>
      <c r="F73">
        <f>Tabela4[[#This Row],[True_Stress2]]/EXP(Tabela4[[#This Row],[True_Strain2]])</f>
        <v>519.21900211696277</v>
      </c>
    </row>
    <row r="74" spans="3:6">
      <c r="C74">
        <v>4.7710227843014097E-2</v>
      </c>
      <c r="D74">
        <v>544.78007551699102</v>
      </c>
      <c r="E74">
        <f>EXP(Tabela4[[#This Row],[True_Strain2]])-1</f>
        <v>4.8866678924706308E-2</v>
      </c>
      <c r="F74">
        <f>Tabela4[[#This Row],[True_Stress2]]/EXP(Tabela4[[#This Row],[True_Strain2]])</f>
        <v>519.39878200296846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9B41-1B06-4056-A827-0730D9C7076C}">
  <dimension ref="A1:D73"/>
  <sheetViews>
    <sheetView zoomScale="130" zoomScaleNormal="130" workbookViewId="0">
      <selection activeCell="D2" sqref="D2"/>
    </sheetView>
  </sheetViews>
  <sheetFormatPr defaultRowHeight="15"/>
  <cols>
    <col min="1" max="2" width="9.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2.786E-4</v>
      </c>
      <c r="B2">
        <v>26.05</v>
      </c>
      <c r="C2">
        <v>2.55432981013801E-4</v>
      </c>
      <c r="D2">
        <v>35.499924762932203</v>
      </c>
    </row>
    <row r="3" spans="1:4">
      <c r="A3">
        <v>1.8010000000000001E-3</v>
      </c>
      <c r="B3">
        <v>175.1</v>
      </c>
      <c r="C3">
        <v>9.7451284399658404E-5</v>
      </c>
      <c r="D3">
        <v>18.336417286879101</v>
      </c>
    </row>
    <row r="4" spans="1:4">
      <c r="A4">
        <v>2.588E-3</v>
      </c>
      <c r="B4">
        <v>237.7</v>
      </c>
      <c r="C4">
        <v>4.6333403809760399E-4</v>
      </c>
      <c r="D4">
        <v>51.7378910254807</v>
      </c>
    </row>
    <row r="5" spans="1:4">
      <c r="A5">
        <v>3.078E-3</v>
      </c>
      <c r="B5">
        <v>296.8</v>
      </c>
      <c r="C5">
        <v>9.7770386470257507E-4</v>
      </c>
      <c r="D5">
        <v>100.43634817834</v>
      </c>
    </row>
    <row r="6" spans="1:4">
      <c r="A6">
        <v>3.8159999999999999E-3</v>
      </c>
      <c r="B6">
        <v>358.2</v>
      </c>
      <c r="C6">
        <v>7.0909717111797396E-4</v>
      </c>
      <c r="D6">
        <v>73.533420019504405</v>
      </c>
    </row>
    <row r="7" spans="1:4">
      <c r="A7">
        <v>4.6519999999999999E-3</v>
      </c>
      <c r="B7">
        <v>426.5</v>
      </c>
      <c r="C7">
        <v>1.32538592156362E-3</v>
      </c>
      <c r="D7">
        <v>124.76578063397599</v>
      </c>
    </row>
    <row r="8" spans="1:4">
      <c r="A8">
        <v>5.7869999999999996E-3</v>
      </c>
      <c r="B8">
        <v>485.7</v>
      </c>
      <c r="C8">
        <v>1.63924722691498E-3</v>
      </c>
      <c r="D8">
        <v>147.353154459753</v>
      </c>
    </row>
    <row r="9" spans="1:4">
      <c r="A9">
        <v>7.8650000000000005E-3</v>
      </c>
      <c r="B9">
        <v>527.79999999999995</v>
      </c>
      <c r="C9">
        <v>1.8071426250813199E-3</v>
      </c>
      <c r="D9">
        <v>166.47620714660701</v>
      </c>
    </row>
    <row r="10" spans="1:4">
      <c r="A10">
        <v>1.074E-2</v>
      </c>
      <c r="B10">
        <v>543.70000000000005</v>
      </c>
      <c r="C10">
        <v>2.0179520044922802E-3</v>
      </c>
      <c r="D10">
        <v>182.69403507512601</v>
      </c>
    </row>
    <row r="11" spans="1:4">
      <c r="A11">
        <v>1.357E-2</v>
      </c>
      <c r="B11">
        <v>552.79999999999995</v>
      </c>
      <c r="C11">
        <v>2.24089199879683E-3</v>
      </c>
      <c r="D11">
        <v>203.02153768044701</v>
      </c>
    </row>
    <row r="12" spans="1:4">
      <c r="A12">
        <v>1.644E-2</v>
      </c>
      <c r="B12">
        <v>560.79999999999995</v>
      </c>
      <c r="C12">
        <v>2.3774921922044699E-3</v>
      </c>
      <c r="D12">
        <v>219.94948863494201</v>
      </c>
    </row>
    <row r="13" spans="1:4">
      <c r="A13">
        <v>1.932E-2</v>
      </c>
      <c r="B13">
        <v>565.29999999999995</v>
      </c>
      <c r="C13">
        <v>2.5715776109266702E-3</v>
      </c>
      <c r="D13">
        <v>237.623465279687</v>
      </c>
    </row>
    <row r="14" spans="1:4">
      <c r="A14">
        <v>2.214E-2</v>
      </c>
      <c r="B14">
        <v>571</v>
      </c>
      <c r="C14">
        <v>2.8041249639021602E-3</v>
      </c>
      <c r="D14">
        <v>256.15263434272703</v>
      </c>
    </row>
    <row r="15" spans="1:4">
      <c r="A15">
        <v>2.5069999999999999E-2</v>
      </c>
      <c r="B15">
        <v>574.4</v>
      </c>
      <c r="C15">
        <v>3.0370501354852501E-3</v>
      </c>
      <c r="D15">
        <v>277.53244480007999</v>
      </c>
    </row>
    <row r="16" spans="1:4">
      <c r="A16">
        <v>2.794E-2</v>
      </c>
      <c r="B16">
        <v>579</v>
      </c>
      <c r="C16">
        <v>3.2697549128805799E-3</v>
      </c>
      <c r="D16">
        <v>297.24938111074903</v>
      </c>
    </row>
    <row r="17" spans="1:4">
      <c r="A17">
        <v>3.0769999999999999E-2</v>
      </c>
      <c r="B17">
        <v>582.4</v>
      </c>
      <c r="C17">
        <v>3.4635719229669602E-3</v>
      </c>
      <c r="D17">
        <v>312.89821459828403</v>
      </c>
    </row>
    <row r="18" spans="1:4">
      <c r="A18">
        <v>3.3689999999999998E-2</v>
      </c>
      <c r="B18">
        <v>584.6</v>
      </c>
      <c r="C18">
        <v>3.6576801682300301E-3</v>
      </c>
      <c r="D18">
        <v>330.744417493936</v>
      </c>
    </row>
    <row r="19" spans="1:4">
      <c r="A19">
        <v>3.6470000000000002E-2</v>
      </c>
      <c r="B19">
        <v>588.1</v>
      </c>
      <c r="C19">
        <v>3.8903849456253499E-3</v>
      </c>
      <c r="D19">
        <v>350.46135380460601</v>
      </c>
    </row>
    <row r="20" spans="1:4">
      <c r="A20">
        <v>3.9449999999999999E-2</v>
      </c>
      <c r="B20">
        <v>591.5</v>
      </c>
      <c r="C20">
        <v>4.1613438570397999E-3</v>
      </c>
      <c r="D20">
        <v>369.46562976669702</v>
      </c>
    </row>
    <row r="21" spans="1:4">
      <c r="A21">
        <v>4.2220000000000001E-2</v>
      </c>
      <c r="B21">
        <v>592.6</v>
      </c>
      <c r="C21">
        <v>4.3937495280374399E-3</v>
      </c>
      <c r="D21">
        <v>386.92580830686899</v>
      </c>
    </row>
    <row r="22" spans="1:4">
      <c r="A22">
        <v>4.4310000000000002E-2</v>
      </c>
      <c r="B22">
        <v>592.6</v>
      </c>
      <c r="C22">
        <v>4.5877121557121696E-3</v>
      </c>
      <c r="D22">
        <v>403.67332649846202</v>
      </c>
    </row>
    <row r="23" spans="1:4">
      <c r="C23">
        <v>4.8199131749640297E-3</v>
      </c>
      <c r="D23">
        <v>419.589407616713</v>
      </c>
    </row>
    <row r="24" spans="1:4">
      <c r="C24">
        <v>5.0907776317265802E-3</v>
      </c>
      <c r="D24">
        <v>437.88102323022599</v>
      </c>
    </row>
    <row r="25" spans="1:4">
      <c r="C25">
        <v>5.4001874576849298E-3</v>
      </c>
      <c r="D25">
        <v>457.65734790327798</v>
      </c>
    </row>
    <row r="26" spans="1:4">
      <c r="C26">
        <v>5.7091722377097401E-3</v>
      </c>
      <c r="D26">
        <v>474.22670100772598</v>
      </c>
    </row>
    <row r="27" spans="1:4">
      <c r="C27">
        <v>6.0564253199514601E-3</v>
      </c>
      <c r="D27">
        <v>490.19029281588303</v>
      </c>
    </row>
    <row r="28" spans="1:4">
      <c r="C28">
        <v>6.51855414983282E-3</v>
      </c>
      <c r="D28">
        <v>504.87109599659902</v>
      </c>
    </row>
    <row r="29" spans="1:4">
      <c r="C29">
        <v>7.2107779464549004E-3</v>
      </c>
      <c r="D29">
        <v>519.57781409908102</v>
      </c>
    </row>
    <row r="30" spans="1:4">
      <c r="C30">
        <v>8.0557606755573795E-3</v>
      </c>
      <c r="D30">
        <v>529.49027167476299</v>
      </c>
    </row>
    <row r="31" spans="1:4">
      <c r="C31">
        <v>8.9001938503215396E-3</v>
      </c>
      <c r="D31">
        <v>535.25634176780602</v>
      </c>
    </row>
    <row r="32" spans="1:4">
      <c r="C32">
        <v>9.7444209422088302E-3</v>
      </c>
      <c r="D32">
        <v>539.46751655486105</v>
      </c>
    </row>
    <row r="33" spans="3:4">
      <c r="C33">
        <v>1.0588570753017199E-2</v>
      </c>
      <c r="D33">
        <v>543.09560560216903</v>
      </c>
    </row>
    <row r="34" spans="3:4">
      <c r="C34">
        <v>1.14326432827469E-2</v>
      </c>
      <c r="D34">
        <v>546.14060890973201</v>
      </c>
    </row>
    <row r="35" spans="3:4">
      <c r="C35">
        <v>1.2276578423891901E-2</v>
      </c>
      <c r="D35">
        <v>548.14901534663397</v>
      </c>
    </row>
    <row r="36" spans="3:4">
      <c r="C36">
        <v>1.3120616606475399E-2</v>
      </c>
      <c r="D36">
        <v>550.93486943653204</v>
      </c>
    </row>
    <row r="37" spans="3:4">
      <c r="C37">
        <v>1.39646204419128E-2</v>
      </c>
      <c r="D37">
        <v>553.46157430876497</v>
      </c>
    </row>
    <row r="38" spans="3:4">
      <c r="C38">
        <v>1.48085212359117E-2</v>
      </c>
      <c r="D38">
        <v>555.21083152800202</v>
      </c>
    </row>
    <row r="39" spans="3:4">
      <c r="C39">
        <v>1.56524477902702E-2</v>
      </c>
      <c r="D39">
        <v>557.15445066048903</v>
      </c>
    </row>
    <row r="40" spans="3:4">
      <c r="C40">
        <v>1.6496382931415299E-2</v>
      </c>
      <c r="D40">
        <v>559.16285709739202</v>
      </c>
    </row>
    <row r="41" spans="3:4">
      <c r="C41">
        <v>1.7340266551841101E-2</v>
      </c>
      <c r="D41">
        <v>560.78253970779701</v>
      </c>
    </row>
    <row r="42" spans="3:4">
      <c r="C42">
        <v>1.8184158759053499E-2</v>
      </c>
      <c r="D42">
        <v>562.467009622619</v>
      </c>
    </row>
    <row r="43" spans="3:4">
      <c r="C43">
        <v>1.9028050966265801E-2</v>
      </c>
      <c r="D43">
        <v>564.15147953744099</v>
      </c>
    </row>
    <row r="44" spans="3:4">
      <c r="C44">
        <v>1.98719431734782E-2</v>
      </c>
      <c r="D44">
        <v>565.83594945226298</v>
      </c>
    </row>
    <row r="45" spans="3:4">
      <c r="C45">
        <v>2.0715835380690599E-2</v>
      </c>
      <c r="D45">
        <v>567.52041936708395</v>
      </c>
    </row>
    <row r="46" spans="3:4">
      <c r="C46">
        <v>2.1559693240756801E-2</v>
      </c>
      <c r="D46">
        <v>568.94574006424102</v>
      </c>
    </row>
    <row r="47" spans="3:4">
      <c r="C47">
        <v>2.2403542514036499E-2</v>
      </c>
      <c r="D47">
        <v>570.30627345698201</v>
      </c>
    </row>
    <row r="48" spans="3:4">
      <c r="C48">
        <v>2.32473832005297E-2</v>
      </c>
      <c r="D48">
        <v>571.60201954530601</v>
      </c>
    </row>
    <row r="49" spans="3:4">
      <c r="C49">
        <v>2.40912925813151E-2</v>
      </c>
      <c r="D49">
        <v>573.41606406896096</v>
      </c>
    </row>
    <row r="50" spans="3:4">
      <c r="C50">
        <v>2.4935090333875601E-2</v>
      </c>
      <c r="D50">
        <v>574.38787363520396</v>
      </c>
    </row>
    <row r="51" spans="3:4">
      <c r="C51">
        <v>2.5778905260009099E-2</v>
      </c>
      <c r="D51">
        <v>575.48925781028004</v>
      </c>
    </row>
    <row r="52" spans="3:4">
      <c r="C52">
        <v>2.66227545332888E-2</v>
      </c>
      <c r="D52">
        <v>576.84979120302</v>
      </c>
    </row>
    <row r="53" spans="3:4">
      <c r="C53">
        <v>2.74665866329954E-2</v>
      </c>
      <c r="D53">
        <v>578.08074998692803</v>
      </c>
    </row>
    <row r="54" spans="3:4">
      <c r="C54">
        <v>2.83104101459155E-2</v>
      </c>
      <c r="D54">
        <v>579.24692146641996</v>
      </c>
    </row>
    <row r="55" spans="3:4">
      <c r="C55">
        <v>2.91542164852625E-2</v>
      </c>
      <c r="D55">
        <v>580.28351833707995</v>
      </c>
    </row>
    <row r="56" spans="3:4">
      <c r="C56">
        <v>2.99980399981826E-2</v>
      </c>
      <c r="D56">
        <v>581.449689816572</v>
      </c>
    </row>
    <row r="57" spans="3:4">
      <c r="C57">
        <v>3.08418377507431E-2</v>
      </c>
      <c r="D57">
        <v>582.421499382815</v>
      </c>
    </row>
    <row r="58" spans="3:4">
      <c r="C58">
        <v>3.1685661263663199E-2</v>
      </c>
      <c r="D58">
        <v>583.58767086230705</v>
      </c>
    </row>
    <row r="59" spans="3:4">
      <c r="C59">
        <v>3.2529476189796701E-2</v>
      </c>
      <c r="D59">
        <v>584.68905503738301</v>
      </c>
    </row>
    <row r="60" spans="3:4">
      <c r="C60">
        <v>3.3373256768784103E-2</v>
      </c>
      <c r="D60">
        <v>585.53128999479395</v>
      </c>
    </row>
    <row r="61" spans="3:4">
      <c r="C61">
        <v>3.4217003000625398E-2</v>
      </c>
      <c r="D61">
        <v>586.11437573453998</v>
      </c>
    </row>
    <row r="62" spans="3:4">
      <c r="C62">
        <v>3.5060852273905103E-2</v>
      </c>
      <c r="D62">
        <v>587.47490912727994</v>
      </c>
    </row>
    <row r="63" spans="3:4">
      <c r="C63">
        <v>3.5904607092532903E-2</v>
      </c>
      <c r="D63">
        <v>588.12278217144296</v>
      </c>
    </row>
    <row r="64" spans="3:4">
      <c r="C64">
        <v>3.6748447779026E-2</v>
      </c>
      <c r="D64">
        <v>589.41852825976696</v>
      </c>
    </row>
    <row r="65" spans="3:4">
      <c r="C65">
        <v>3.7592176837294197E-2</v>
      </c>
      <c r="D65">
        <v>589.87203939068104</v>
      </c>
    </row>
    <row r="66" spans="3:4">
      <c r="C66">
        <v>3.8435914482348899E-2</v>
      </c>
      <c r="D66">
        <v>590.39033782600995</v>
      </c>
    </row>
    <row r="67" spans="3:4">
      <c r="C67">
        <v>3.9279703648122902E-2</v>
      </c>
      <c r="D67">
        <v>591.29736008783698</v>
      </c>
    </row>
    <row r="68" spans="3:4">
      <c r="C68">
        <v>4.0123441293177603E-2</v>
      </c>
      <c r="D68">
        <v>591.81565852316703</v>
      </c>
    </row>
    <row r="69" spans="3:4">
      <c r="C69">
        <v>4.09672046985919E-2</v>
      </c>
      <c r="D69">
        <v>592.52831887174602</v>
      </c>
    </row>
    <row r="70" spans="3:4">
      <c r="C70">
        <v>4.1811045385085101E-2</v>
      </c>
      <c r="D70">
        <v>593.82406496007002</v>
      </c>
    </row>
    <row r="71" spans="3:4">
      <c r="C71">
        <v>4.26548002037129E-2</v>
      </c>
      <c r="D71">
        <v>594.47193800423202</v>
      </c>
    </row>
    <row r="72" spans="3:4">
      <c r="C72">
        <v>4.3498529261981098E-2</v>
      </c>
      <c r="D72">
        <v>594.92544913514598</v>
      </c>
    </row>
    <row r="73" spans="3:4">
      <c r="C73">
        <v>4.42272125542362E-2</v>
      </c>
      <c r="D73">
        <v>595.37896026605904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3FE8-ABFE-4207-91ED-EE2BAFCDD96B}">
  <dimension ref="A1:D58"/>
  <sheetViews>
    <sheetView workbookViewId="0">
      <selection activeCell="D2" sqref="D2"/>
    </sheetView>
  </sheetViews>
  <sheetFormatPr defaultRowHeight="15"/>
  <cols>
    <col min="1" max="2" width="9.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2.2910000000000001E-4</v>
      </c>
      <c r="B2">
        <v>24.91</v>
      </c>
      <c r="C2">
        <v>3.0587869561193599E-4</v>
      </c>
      <c r="D2">
        <v>48.653938207525201</v>
      </c>
    </row>
    <row r="3" spans="1:4">
      <c r="A3">
        <v>1.407E-3</v>
      </c>
      <c r="B3">
        <v>150.1</v>
      </c>
      <c r="C3">
        <v>1.5115448689672801E-4</v>
      </c>
      <c r="D3">
        <v>30.353329499137399</v>
      </c>
    </row>
    <row r="4" spans="1:4">
      <c r="A4">
        <v>1.9449999999999999E-3</v>
      </c>
      <c r="B4">
        <v>219.5</v>
      </c>
      <c r="C4">
        <v>2.3710603275399801E-5</v>
      </c>
      <c r="D4">
        <v>13.966892550823999</v>
      </c>
    </row>
    <row r="5" spans="1:4">
      <c r="A5">
        <v>2.5339999999999998E-3</v>
      </c>
      <c r="B5">
        <v>283.2</v>
      </c>
      <c r="C5">
        <v>8.6137443319412102E-4</v>
      </c>
      <c r="D5">
        <v>98.836821618197405</v>
      </c>
    </row>
    <row r="6" spans="1:4">
      <c r="A6">
        <v>3.0240000000000002E-3</v>
      </c>
      <c r="B6">
        <v>338.9</v>
      </c>
      <c r="C6">
        <v>6.7232875115834096E-4</v>
      </c>
      <c r="D6">
        <v>75.136905803805902</v>
      </c>
    </row>
    <row r="7" spans="1:4">
      <c r="A7">
        <v>3.565E-3</v>
      </c>
      <c r="B7">
        <v>390.1</v>
      </c>
      <c r="C7">
        <v>1.0992822540141099E-3</v>
      </c>
      <c r="D7">
        <v>124.078855242429</v>
      </c>
    </row>
    <row r="8" spans="1:4">
      <c r="A8">
        <v>4.3030000000000004E-3</v>
      </c>
      <c r="B8">
        <v>445.8</v>
      </c>
      <c r="C8">
        <v>1.36767417984908E-3</v>
      </c>
      <c r="D8">
        <v>147.792628341376</v>
      </c>
    </row>
    <row r="9" spans="1:4">
      <c r="A9">
        <v>5.4869999999999997E-3</v>
      </c>
      <c r="B9">
        <v>506.1</v>
      </c>
      <c r="C9">
        <v>1.5662778598345599E-3</v>
      </c>
      <c r="D9">
        <v>175.47948288364799</v>
      </c>
    </row>
    <row r="10" spans="1:4">
      <c r="A10">
        <v>7.515E-3</v>
      </c>
      <c r="B10">
        <v>558.5</v>
      </c>
      <c r="C10">
        <v>1.4873326617773201E-3</v>
      </c>
      <c r="D10">
        <v>158.518166587482</v>
      </c>
    </row>
    <row r="11" spans="1:4">
      <c r="A11">
        <v>1.039E-2</v>
      </c>
      <c r="B11">
        <v>581.20000000000005</v>
      </c>
      <c r="C11">
        <v>1.7605899697213101E-3</v>
      </c>
      <c r="D11">
        <v>194.86384436498199</v>
      </c>
    </row>
    <row r="12" spans="1:4">
      <c r="A12">
        <v>1.3259999999999999E-2</v>
      </c>
      <c r="B12">
        <v>594.9</v>
      </c>
      <c r="C12">
        <v>1.9161095540731199E-3</v>
      </c>
      <c r="D12">
        <v>210.898702207996</v>
      </c>
    </row>
    <row r="13" spans="1:4">
      <c r="A13">
        <v>1.6140000000000002E-2</v>
      </c>
      <c r="B13">
        <v>602.79999999999995</v>
      </c>
      <c r="C13">
        <v>2.0715346837730298E-3</v>
      </c>
      <c r="D13">
        <v>226.220899702433</v>
      </c>
    </row>
    <row r="14" spans="1:4">
      <c r="A14">
        <v>1.8960000000000001E-2</v>
      </c>
      <c r="B14">
        <v>610.79999999999995</v>
      </c>
      <c r="C14">
        <v>2.2398843583411299E-3</v>
      </c>
      <c r="D14">
        <v>242.612087719736</v>
      </c>
    </row>
    <row r="15" spans="1:4">
      <c r="A15">
        <v>2.1839999999999998E-2</v>
      </c>
      <c r="B15">
        <v>613.1</v>
      </c>
      <c r="C15">
        <v>2.4218355027826898E-3</v>
      </c>
      <c r="D15">
        <v>265.17966542471999</v>
      </c>
    </row>
    <row r="16" spans="1:4">
      <c r="A16">
        <v>2.4670000000000001E-2</v>
      </c>
      <c r="B16">
        <v>617.6</v>
      </c>
      <c r="C16">
        <v>2.6160185246451801E-3</v>
      </c>
      <c r="D16">
        <v>283.59005776299603</v>
      </c>
    </row>
    <row r="17" spans="1:4">
      <c r="A17">
        <v>2.7570000000000001E-2</v>
      </c>
      <c r="B17">
        <v>617.6</v>
      </c>
      <c r="C17">
        <v>2.7714908816710302E-3</v>
      </c>
      <c r="D17">
        <v>299.26858543172199</v>
      </c>
    </row>
    <row r="18" spans="1:4">
      <c r="A18">
        <v>2.938E-2</v>
      </c>
      <c r="B18">
        <v>616.5</v>
      </c>
      <c r="C18">
        <v>2.92686878404499E-3</v>
      </c>
      <c r="D18">
        <v>314.23445275186901</v>
      </c>
    </row>
    <row r="19" spans="1:4">
      <c r="C19">
        <v>3.08234114107085E-3</v>
      </c>
      <c r="D19">
        <v>329.91298042059401</v>
      </c>
    </row>
    <row r="20" spans="1:4">
      <c r="C20">
        <v>3.27647018884654E-3</v>
      </c>
      <c r="D20">
        <v>347.91613827396799</v>
      </c>
    </row>
    <row r="21" spans="1:4">
      <c r="C21">
        <v>3.5090715159088299E-3</v>
      </c>
      <c r="D21">
        <v>366.85254182190903</v>
      </c>
    </row>
    <row r="22" spans="1:4">
      <c r="C22">
        <v>3.70314434067744E-3</v>
      </c>
      <c r="D22">
        <v>384.43149708684399</v>
      </c>
    </row>
    <row r="23" spans="1:4">
      <c r="C23">
        <v>3.8972801352139801E-3</v>
      </c>
      <c r="D23">
        <v>402.48555925083099</v>
      </c>
    </row>
    <row r="24" spans="1:4">
      <c r="C24">
        <v>4.1296070940017096E-3</v>
      </c>
      <c r="D24">
        <v>419.35185416718701</v>
      </c>
    </row>
    <row r="25" spans="1:4">
      <c r="C25">
        <v>4.3618081132535801E-3</v>
      </c>
      <c r="D25">
        <v>435.26793528543902</v>
      </c>
    </row>
    <row r="26" spans="1:4">
      <c r="C26">
        <v>4.6327434110050398E-3</v>
      </c>
      <c r="D26">
        <v>454.09404616038597</v>
      </c>
    </row>
    <row r="27" spans="1:4">
      <c r="C27">
        <v>4.9033166325909002E-3</v>
      </c>
      <c r="D27">
        <v>470.18829236578199</v>
      </c>
    </row>
    <row r="28" spans="1:4">
      <c r="C28">
        <v>5.1739213390607297E-3</v>
      </c>
      <c r="D28">
        <v>486.520092020704</v>
      </c>
    </row>
    <row r="29" spans="1:4">
      <c r="C29">
        <v>5.5211885895002297E-3</v>
      </c>
      <c r="D29">
        <v>502.59058288114801</v>
      </c>
    </row>
    <row r="30" spans="1:4">
      <c r="C30">
        <v>5.9452773825734301E-3</v>
      </c>
      <c r="D30">
        <v>519.59940986721995</v>
      </c>
    </row>
    <row r="31" spans="1:4">
      <c r="C31">
        <v>6.4842671111934496E-3</v>
      </c>
      <c r="D31">
        <v>535.51549098547105</v>
      </c>
    </row>
    <row r="32" spans="1:4">
      <c r="C32">
        <v>7.21495112471153E-3</v>
      </c>
      <c r="D32">
        <v>551.06444404536398</v>
      </c>
    </row>
    <row r="33" spans="3:4">
      <c r="C33">
        <v>8.0601914574101007E-3</v>
      </c>
      <c r="D33">
        <v>562.92052075353297</v>
      </c>
    </row>
    <row r="34" spans="3:4">
      <c r="C34">
        <v>8.9049852772087896E-3</v>
      </c>
      <c r="D34">
        <v>571.40765763205798</v>
      </c>
    </row>
    <row r="35" spans="3:4">
      <c r="C35">
        <v>9.7494957330517707E-3</v>
      </c>
      <c r="D35">
        <v>577.75681346484703</v>
      </c>
    </row>
    <row r="36" spans="3:4">
      <c r="C36">
        <v>1.0593800106017799E-2</v>
      </c>
      <c r="D36">
        <v>582.55107399164797</v>
      </c>
    </row>
    <row r="37" spans="3:4">
      <c r="C37">
        <v>1.1438070131837799E-2</v>
      </c>
      <c r="D37">
        <v>587.08618530078297</v>
      </c>
    </row>
    <row r="38" spans="3:4">
      <c r="C38">
        <v>1.2282177008713599E-2</v>
      </c>
      <c r="D38">
        <v>590.39033782600995</v>
      </c>
    </row>
    <row r="39" spans="3:4">
      <c r="C39">
        <v>1.3126309645949E-2</v>
      </c>
      <c r="D39">
        <v>593.88885226448599</v>
      </c>
    </row>
    <row r="40" spans="3:4">
      <c r="C40">
        <v>1.39703993492517E-2</v>
      </c>
      <c r="D40">
        <v>597.06343018088103</v>
      </c>
    </row>
    <row r="41" spans="3:4">
      <c r="C41">
        <v>1.4814334490396701E-2</v>
      </c>
      <c r="D41">
        <v>599.07183661778402</v>
      </c>
    </row>
    <row r="42" spans="3:4">
      <c r="C42">
        <v>1.5658321152260998E-2</v>
      </c>
      <c r="D42">
        <v>601.46896688118397</v>
      </c>
    </row>
    <row r="43" spans="3:4">
      <c r="C43">
        <v>1.6502273466979099E-2</v>
      </c>
      <c r="D43">
        <v>603.60694792691902</v>
      </c>
    </row>
    <row r="44" spans="3:4">
      <c r="C44">
        <v>1.73461828477646E-2</v>
      </c>
      <c r="D44">
        <v>605.42099245057398</v>
      </c>
    </row>
    <row r="45" spans="3:4">
      <c r="C45">
        <v>1.8190117988909599E-2</v>
      </c>
      <c r="D45">
        <v>607.42939888747696</v>
      </c>
    </row>
    <row r="46" spans="3:4">
      <c r="C46">
        <v>1.90340359564816E-2</v>
      </c>
      <c r="D46">
        <v>609.30823071554698</v>
      </c>
    </row>
    <row r="47" spans="3:4">
      <c r="C47">
        <v>1.9877850882615199E-2</v>
      </c>
      <c r="D47">
        <v>610.40961489062295</v>
      </c>
    </row>
    <row r="48" spans="3:4">
      <c r="C48">
        <v>2.0721674395535301E-2</v>
      </c>
      <c r="D48">
        <v>611.575786370115</v>
      </c>
    </row>
    <row r="49" spans="3:4">
      <c r="C49">
        <v>2.15655322556015E-2</v>
      </c>
      <c r="D49">
        <v>613.00110706727196</v>
      </c>
    </row>
    <row r="50" spans="3:4">
      <c r="C50">
        <v>2.2409338594948501E-2</v>
      </c>
      <c r="D50">
        <v>614.03770393793104</v>
      </c>
    </row>
    <row r="51" spans="3:4">
      <c r="C51">
        <v>2.32531277607224E-2</v>
      </c>
      <c r="D51">
        <v>614.94472619975795</v>
      </c>
    </row>
    <row r="52" spans="3:4">
      <c r="C52">
        <v>2.40969169264964E-2</v>
      </c>
      <c r="D52">
        <v>615.85174846158498</v>
      </c>
    </row>
    <row r="53" spans="3:4">
      <c r="C53">
        <v>2.49406717451242E-2</v>
      </c>
      <c r="D53">
        <v>616.49962150574697</v>
      </c>
    </row>
    <row r="54" spans="3:4">
      <c r="C54">
        <v>2.5784469497684599E-2</v>
      </c>
      <c r="D54">
        <v>617.47143107199099</v>
      </c>
    </row>
    <row r="55" spans="3:4">
      <c r="C55">
        <v>2.6628189969166299E-2</v>
      </c>
      <c r="D55">
        <v>617.86015489848796</v>
      </c>
    </row>
    <row r="56" spans="3:4">
      <c r="C56">
        <v>2.7471944787794099E-2</v>
      </c>
      <c r="D56">
        <v>618.50802794264996</v>
      </c>
    </row>
    <row r="57" spans="3:4">
      <c r="C57">
        <v>2.8315691019635301E-2</v>
      </c>
      <c r="D57">
        <v>619.09111368239599</v>
      </c>
    </row>
    <row r="58" spans="3:4">
      <c r="C58">
        <v>2.8775942777979902E-2</v>
      </c>
      <c r="D58">
        <v>619.60941211772604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16EB-4DE0-4FBE-BA1A-B73A9A1D81B4}">
  <dimension ref="A1:D51"/>
  <sheetViews>
    <sheetView zoomScale="115" zoomScaleNormal="115" workbookViewId="0">
      <selection activeCell="D2" sqref="D2"/>
    </sheetView>
  </sheetViews>
  <sheetFormatPr defaultRowHeight="15"/>
  <cols>
    <col min="1" max="2" width="9.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2.786E-4</v>
      </c>
      <c r="B2">
        <v>26.05</v>
      </c>
      <c r="C2">
        <v>2.2634891838138401E-4</v>
      </c>
      <c r="D2">
        <v>29.2283074557254</v>
      </c>
    </row>
    <row r="3" spans="1:4">
      <c r="A3">
        <v>8.1490000000000002E-4</v>
      </c>
      <c r="B3">
        <v>118.2</v>
      </c>
      <c r="C3">
        <v>4.2517555046760797E-5</v>
      </c>
      <c r="D3">
        <v>4.7450469308632801</v>
      </c>
    </row>
    <row r="4" spans="1:4">
      <c r="A4">
        <v>1.206E-3</v>
      </c>
      <c r="B4">
        <v>169.4</v>
      </c>
      <c r="C4">
        <v>5.17585374224921E-4</v>
      </c>
      <c r="D4">
        <v>52.209449706718701</v>
      </c>
    </row>
    <row r="5" spans="1:4">
      <c r="A5">
        <v>1.7459999999999999E-3</v>
      </c>
      <c r="B5">
        <v>227.4</v>
      </c>
      <c r="C5">
        <v>7.1170113716795399E-4</v>
      </c>
      <c r="D5">
        <v>75.931521764259102</v>
      </c>
    </row>
    <row r="6" spans="1:4">
      <c r="A6">
        <v>2.186E-3</v>
      </c>
      <c r="B6">
        <v>293.39999999999998</v>
      </c>
      <c r="C6">
        <v>8.5093356034270605E-4</v>
      </c>
      <c r="D6">
        <v>99.440733608977695</v>
      </c>
    </row>
    <row r="7" spans="1:4">
      <c r="A7">
        <v>2.676E-3</v>
      </c>
      <c r="B7">
        <v>352.6</v>
      </c>
      <c r="C7">
        <v>1.04396412122575E-3</v>
      </c>
      <c r="D7">
        <v>121.361479334923</v>
      </c>
    </row>
    <row r="8" spans="1:4">
      <c r="A8">
        <v>3.1670000000000001E-3</v>
      </c>
      <c r="B8">
        <v>398.1</v>
      </c>
      <c r="C8">
        <v>1.21045129792944E-3</v>
      </c>
      <c r="D8">
        <v>140.73391138888999</v>
      </c>
    </row>
    <row r="9" spans="1:4">
      <c r="A9">
        <v>3.8059999999999999E-3</v>
      </c>
      <c r="B9">
        <v>456.1</v>
      </c>
      <c r="C9">
        <v>1.2853334995653299E-3</v>
      </c>
      <c r="D9">
        <v>156.99918293694199</v>
      </c>
    </row>
    <row r="10" spans="1:4">
      <c r="A10">
        <v>4.6430000000000004E-3</v>
      </c>
      <c r="B10">
        <v>515.20000000000005</v>
      </c>
      <c r="C10">
        <v>1.5127513674909701E-3</v>
      </c>
      <c r="D10">
        <v>179.752053369631</v>
      </c>
    </row>
    <row r="11" spans="1:4">
      <c r="A11">
        <v>5.927E-3</v>
      </c>
      <c r="B11">
        <v>569.9</v>
      </c>
      <c r="C11">
        <v>1.5495984588598799E-3</v>
      </c>
      <c r="D11">
        <v>193.466892940957</v>
      </c>
    </row>
    <row r="12" spans="1:4">
      <c r="A12">
        <v>8.3529999999999993E-3</v>
      </c>
      <c r="B12">
        <v>611.9</v>
      </c>
      <c r="C12">
        <v>1.75404624305234E-3</v>
      </c>
      <c r="D12">
        <v>216.08989682990699</v>
      </c>
    </row>
    <row r="13" spans="1:4">
      <c r="A13">
        <v>1.1129999999999999E-2</v>
      </c>
      <c r="B13">
        <v>632.4</v>
      </c>
      <c r="C13">
        <v>1.96586012593915E-3</v>
      </c>
      <c r="D13">
        <v>241.487064380839</v>
      </c>
    </row>
    <row r="14" spans="1:4">
      <c r="A14">
        <v>1.4149999999999999E-2</v>
      </c>
      <c r="B14">
        <v>646.1</v>
      </c>
      <c r="C14">
        <v>2.0788404798097902E-3</v>
      </c>
      <c r="D14">
        <v>259.71033101345898</v>
      </c>
    </row>
    <row r="15" spans="1:4">
      <c r="A15">
        <v>1.6979999999999999E-2</v>
      </c>
      <c r="B15">
        <v>652.9</v>
      </c>
      <c r="C15">
        <v>2.2429020863864099E-3</v>
      </c>
      <c r="D15">
        <v>277.87803295587298</v>
      </c>
    </row>
    <row r="16" spans="1:4">
      <c r="A16">
        <v>1.9800000000000002E-2</v>
      </c>
      <c r="B16">
        <v>658.6</v>
      </c>
      <c r="C16">
        <v>2.4447553473773299E-3</v>
      </c>
      <c r="D16">
        <v>300.88404325054103</v>
      </c>
    </row>
    <row r="17" spans="1:4">
      <c r="A17">
        <v>2.273E-2</v>
      </c>
      <c r="B17">
        <v>658.6</v>
      </c>
      <c r="C17">
        <v>2.5327491367354198E-3</v>
      </c>
      <c r="D17">
        <v>313.92829608278498</v>
      </c>
    </row>
    <row r="18" spans="1:4">
      <c r="A18">
        <v>2.4459999999999999E-2</v>
      </c>
      <c r="B18">
        <v>660.9</v>
      </c>
      <c r="C18">
        <v>2.6842337130235198E-3</v>
      </c>
      <c r="D18">
        <v>330.29351325801701</v>
      </c>
    </row>
    <row r="19" spans="1:4">
      <c r="C19">
        <v>2.8357182893116099E-3</v>
      </c>
      <c r="D19">
        <v>346.65873043324899</v>
      </c>
    </row>
    <row r="20" spans="1:4">
      <c r="C20">
        <v>3.02523172724658E-3</v>
      </c>
      <c r="D20">
        <v>365.63310099267301</v>
      </c>
    </row>
    <row r="21" spans="1:4">
      <c r="C21">
        <v>3.1764134857909798E-3</v>
      </c>
      <c r="D21">
        <v>384.84404791436702</v>
      </c>
    </row>
    <row r="22" spans="1:4">
      <c r="C22">
        <v>3.3661414196277401E-3</v>
      </c>
      <c r="D22">
        <v>401.80269323671399</v>
      </c>
    </row>
    <row r="23" spans="1:4">
      <c r="C23">
        <v>3.5177774047876901E-3</v>
      </c>
      <c r="D23">
        <v>416.745045538716</v>
      </c>
    </row>
    <row r="24" spans="1:4">
      <c r="C24">
        <v>3.7073791645645701E-3</v>
      </c>
      <c r="D24">
        <v>434.88941158875502</v>
      </c>
    </row>
    <row r="25" spans="1:4">
      <c r="C25">
        <v>3.93547663000987E-3</v>
      </c>
      <c r="D25">
        <v>451.25576433052601</v>
      </c>
    </row>
    <row r="26" spans="1:4">
      <c r="C26">
        <v>4.16314510365159E-3</v>
      </c>
      <c r="D26">
        <v>471.65356754645097</v>
      </c>
    </row>
    <row r="27" spans="1:4">
      <c r="C27">
        <v>4.39106592541306E-3</v>
      </c>
      <c r="D27">
        <v>489.67992930699103</v>
      </c>
    </row>
    <row r="28" spans="1:4">
      <c r="C28">
        <v>4.6574698354369601E-3</v>
      </c>
      <c r="D28">
        <v>506.046849832031</v>
      </c>
    </row>
    <row r="29" spans="1:4">
      <c r="C29">
        <v>5.0000929715512399E-3</v>
      </c>
      <c r="D29">
        <v>526.11435459401002</v>
      </c>
    </row>
    <row r="30" spans="1:4">
      <c r="C30">
        <v>5.3812799473262696E-3</v>
      </c>
      <c r="D30">
        <v>543.76355685476699</v>
      </c>
    </row>
    <row r="31" spans="1:4">
      <c r="C31">
        <v>5.8391620056460697E-3</v>
      </c>
      <c r="D31">
        <v>560.64148232230798</v>
      </c>
    </row>
    <row r="32" spans="1:4">
      <c r="C32">
        <v>6.4119958424599301E-3</v>
      </c>
      <c r="D32">
        <v>577.21621152396494</v>
      </c>
    </row>
    <row r="33" spans="3:4">
      <c r="C33">
        <v>7.13818720297019E-3</v>
      </c>
      <c r="D33">
        <v>592.555134631344</v>
      </c>
    </row>
    <row r="34" spans="3:4">
      <c r="C34">
        <v>7.9796213616242992E-3</v>
      </c>
      <c r="D34">
        <v>604.85600431390105</v>
      </c>
    </row>
    <row r="35" spans="3:4">
      <c r="C35">
        <v>8.8213376913577595E-3</v>
      </c>
      <c r="D35">
        <v>614.50517127816499</v>
      </c>
    </row>
    <row r="36" spans="3:4">
      <c r="C36">
        <v>9.6632811343990103E-3</v>
      </c>
      <c r="D36">
        <v>622.02004093258199</v>
      </c>
    </row>
    <row r="37" spans="3:4">
      <c r="C37">
        <v>1.0505389750755E-2</v>
      </c>
      <c r="D37">
        <v>627.98269436165697</v>
      </c>
    </row>
    <row r="38" spans="3:4">
      <c r="C38">
        <v>1.13475947182112E-2</v>
      </c>
      <c r="D38">
        <v>633.03988832594803</v>
      </c>
    </row>
    <row r="39" spans="3:4">
      <c r="C39">
        <v>1.21898409789962E-2</v>
      </c>
      <c r="D39">
        <v>637.70902823390395</v>
      </c>
    </row>
    <row r="40" spans="3:4">
      <c r="C40">
        <v>1.3032224884210099E-2</v>
      </c>
      <c r="D40">
        <v>641.08465462074105</v>
      </c>
    </row>
    <row r="41" spans="3:4">
      <c r="C41">
        <v>1.38745743783167E-2</v>
      </c>
      <c r="D41">
        <v>644.78365938785805</v>
      </c>
    </row>
    <row r="42" spans="3:4">
      <c r="C42">
        <v>1.4717040870188E-2</v>
      </c>
      <c r="D42">
        <v>647.38317766202397</v>
      </c>
    </row>
    <row r="43" spans="3:4">
      <c r="C43">
        <v>1.5559507362059299E-2</v>
      </c>
      <c r="D43">
        <v>649.98269593618897</v>
      </c>
    </row>
    <row r="44" spans="3:4">
      <c r="C44">
        <v>1.6401987618373502E-2</v>
      </c>
      <c r="D44">
        <v>652.45286285824295</v>
      </c>
    </row>
    <row r="45" spans="3:4">
      <c r="C45">
        <v>1.7244550461345001E-2</v>
      </c>
      <c r="D45">
        <v>654.14692166762495</v>
      </c>
    </row>
    <row r="46" spans="3:4">
      <c r="C46">
        <v>1.80871683620882E-2</v>
      </c>
      <c r="D46">
        <v>655.32357506855999</v>
      </c>
    </row>
    <row r="47" spans="3:4">
      <c r="C47">
        <v>1.8929744969502602E-2</v>
      </c>
      <c r="D47">
        <v>656.88828252583096</v>
      </c>
    </row>
    <row r="48" spans="3:4">
      <c r="C48">
        <v>1.97723559880243E-2</v>
      </c>
      <c r="D48">
        <v>658.129611602821</v>
      </c>
    </row>
    <row r="49" spans="3:4">
      <c r="C49">
        <v>2.0615028946539E-2</v>
      </c>
      <c r="D49">
        <v>658.78885959530896</v>
      </c>
    </row>
    <row r="50" spans="3:4">
      <c r="C50">
        <v>2.1457626200617801E-2</v>
      </c>
      <c r="D50">
        <v>660.15954002441094</v>
      </c>
    </row>
    <row r="51" spans="3:4">
      <c r="C51">
        <v>2.22237589156461E-2</v>
      </c>
      <c r="D51">
        <v>660.13496475865804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vf=0</vt:lpstr>
      <vt:lpstr>vf=10</vt:lpstr>
      <vt:lpstr>vf=20</vt:lpstr>
      <vt:lpstr>vf=30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Viny Pereira</dc:creator>
  <cp:lastModifiedBy>Viny Pereira</cp:lastModifiedBy>
  <dcterms:created xsi:type="dcterms:W3CDTF">2026-04-01T12:20:33Z</dcterms:created>
  <dcterms:modified xsi:type="dcterms:W3CDTF">2026-04-16T12:27:06Z</dcterms:modified>
</cp:coreProperties>
</file>